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ustomProperty1.bin" ContentType="application/vnd.openxmlformats-officedocument.spreadsheetml.customProperty"/>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codeName="{6BE1CDB9-6C1C-A5B6-3FC1-E231EC3C600E}"/>
  <workbookPr codeName="ThisWorkbook" defaultThemeVersion="124226"/>
  <mc:AlternateContent xmlns:mc="http://schemas.openxmlformats.org/markup-compatibility/2006">
    <mc:Choice Requires="x15">
      <x15ac:absPath xmlns:x15ac="http://schemas.microsoft.com/office/spreadsheetml/2010/11/ac" url="/Users/aarjavjain/OneDrive - Syracuse University/Syracuse Semesters/Sem 4/Financial Modelling/P-02/Final/"/>
    </mc:Choice>
  </mc:AlternateContent>
  <xr:revisionPtr revIDLastSave="0" documentId="13_ncr:1_{CC4416E4-F7F0-1641-8C3F-C1C0F2CF685F}" xr6:coauthVersionLast="47" xr6:coauthVersionMax="47" xr10:uidLastSave="{00000000-0000-0000-0000-000000000000}"/>
  <bookViews>
    <workbookView xWindow="0" yWindow="500" windowWidth="33600" windowHeight="19220" xr2:uid="{00000000-000D-0000-FFFF-FFFF00000000}"/>
  </bookViews>
  <sheets>
    <sheet name="User Guide" sheetId="9" r:id="rId1"/>
    <sheet name="Model" sheetId="4" r:id="rId2"/>
    <sheet name="Alt-2" sheetId="6" state="hidden" r:id="rId3"/>
  </sheets>
  <definedNames>
    <definedName name="Block1">Model!$C$1:$C$6</definedName>
    <definedName name="Block1_og">Model!$BZ$5:$BZ$10</definedName>
    <definedName name="Block1_User">Model!$CD$5:$CD$10</definedName>
    <definedName name="Block2">Model!$D$7:$F$24</definedName>
    <definedName name="Block2_og">Model!$BX$11:$BZ$28</definedName>
    <definedName name="Block2_User">Model!$CB$11:$CD$28</definedName>
    <definedName name="Financial_Distress_Cost">Model!$F$10:$F$24</definedName>
    <definedName name="Risk_Debt">Model!$E$10:$E$24</definedName>
    <definedName name="solver_adj" localSheetId="1" hidden="1">Model!$D$32</definedName>
    <definedName name="solver_cvg" localSheetId="1" hidden="1">0.0001</definedName>
    <definedName name="solver_drv" localSheetId="1" hidden="1">1</definedName>
    <definedName name="solver_eng" localSheetId="1" hidden="1">1</definedName>
    <definedName name="solver_itr" localSheetId="1" hidden="1">2147483647</definedName>
    <definedName name="solver_lhs1" localSheetId="1" hidden="1">Model!$D$30</definedName>
    <definedName name="solver_lhs2" localSheetId="1" hidden="1">Model!$D$30</definedName>
    <definedName name="solver_lhs3" localSheetId="1" hidden="1">Model!$BR$18</definedName>
    <definedName name="solver_lin" localSheetId="1" hidden="1">2</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0</definedName>
    <definedName name="solver_opt" localSheetId="1" hidden="1">Model!$N$32</definedName>
    <definedName name="solver_pre" localSheetId="1" hidden="1">0.000001</definedName>
    <definedName name="solver_rbv" localSheetId="1" hidden="1">1</definedName>
    <definedName name="solver_rel1" localSheetId="1" hidden="1">1</definedName>
    <definedName name="solver_rel2" localSheetId="1" hidden="1">3</definedName>
    <definedName name="solver_rel3" localSheetId="1" hidden="1">2</definedName>
    <definedName name="solver_rhs1" localSheetId="1" hidden="1">Model!$D$24</definedName>
    <definedName name="solver_rhs2" localSheetId="1" hidden="1">Model!$D$10</definedName>
    <definedName name="solver_rhs3" localSheetId="1" hidden="1">Model!$BS$18</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3</definedName>
    <definedName name="TaxRate">Model!$C$3</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G34" i="4" l="1"/>
  <c r="CG37" i="4"/>
  <c r="CG38" i="4"/>
  <c r="CG39" i="4"/>
  <c r="CG40" i="4"/>
  <c r="CG41" i="4"/>
  <c r="CG42" i="4"/>
  <c r="CG43" i="4"/>
  <c r="CG44" i="4"/>
  <c r="CG45" i="4"/>
  <c r="CG46" i="4"/>
  <c r="CC48" i="4"/>
  <c r="CG33" i="4"/>
  <c r="CE34" i="4"/>
  <c r="CE37" i="4"/>
  <c r="CE38" i="4"/>
  <c r="CE39" i="4"/>
  <c r="CE40" i="4"/>
  <c r="CE41" i="4"/>
  <c r="CE42" i="4"/>
  <c r="CE43" i="4"/>
  <c r="CE44" i="4"/>
  <c r="CE45" i="4"/>
  <c r="CE33" i="4"/>
  <c r="CC34" i="4"/>
  <c r="CC35" i="4"/>
  <c r="CC36" i="4"/>
  <c r="CC37" i="4"/>
  <c r="CC38" i="4"/>
  <c r="CC39" i="4"/>
  <c r="CC40" i="4"/>
  <c r="CC41" i="4"/>
  <c r="CC42" i="4"/>
  <c r="CC43" i="4"/>
  <c r="CC44" i="4"/>
  <c r="CC45" i="4"/>
  <c r="CC46" i="4"/>
  <c r="CC33" i="4"/>
  <c r="CK61" i="4"/>
  <c r="CI63" i="4"/>
  <c r="CK42" i="4"/>
  <c r="CI42" i="4"/>
  <c r="CN17" i="4"/>
  <c r="CP16" i="4"/>
  <c r="CK6" i="4"/>
  <c r="CK8" i="4"/>
  <c r="CK10" i="4"/>
  <c r="CK11" i="4"/>
  <c r="CK16" i="4"/>
  <c r="CK17" i="4"/>
  <c r="CJ16" i="4"/>
  <c r="CK20" i="4"/>
  <c r="CJ6" i="4"/>
  <c r="CJ8" i="4"/>
  <c r="CJ12" i="4"/>
  <c r="CJ17" i="4"/>
  <c r="CJ20" i="4"/>
  <c r="CK5" i="4"/>
  <c r="CK7" i="4"/>
  <c r="CK9" i="4"/>
  <c r="CK12" i="4"/>
  <c r="CK13" i="4"/>
  <c r="CK14" i="4"/>
  <c r="CK15" i="4"/>
  <c r="CK18" i="4"/>
  <c r="CK19" i="4"/>
  <c r="CK21" i="4"/>
  <c r="CK22" i="4"/>
  <c r="CK23" i="4"/>
  <c r="CK24" i="4"/>
  <c r="CK25" i="4"/>
  <c r="CK26" i="4"/>
  <c r="CK27" i="4"/>
  <c r="CK28" i="4"/>
  <c r="CK29" i="4"/>
  <c r="CK30" i="4"/>
  <c r="CK31" i="4"/>
  <c r="CK32" i="4"/>
  <c r="CK33" i="4"/>
  <c r="CJ33" i="4"/>
  <c r="CJ32" i="4"/>
  <c r="CJ31" i="4"/>
  <c r="CJ30" i="4"/>
  <c r="CJ29" i="4"/>
  <c r="CJ28" i="4"/>
  <c r="CJ27" i="4"/>
  <c r="CJ26" i="4"/>
  <c r="CJ25" i="4"/>
  <c r="CJ24" i="4"/>
  <c r="CJ23" i="4"/>
  <c r="CJ22" i="4"/>
  <c r="CJ21" i="4"/>
  <c r="CJ19" i="4"/>
  <c r="CJ18" i="4"/>
  <c r="CJ15" i="4"/>
  <c r="CI33" i="4"/>
  <c r="CI32" i="4"/>
  <c r="CI31" i="4"/>
  <c r="CI30" i="4"/>
  <c r="CI29" i="4"/>
  <c r="CI28" i="4"/>
  <c r="CI27" i="4"/>
  <c r="CI26" i="4"/>
  <c r="CI25" i="4"/>
  <c r="CI24" i="4"/>
  <c r="CI23" i="4"/>
  <c r="CI22" i="4"/>
  <c r="CI21" i="4"/>
  <c r="CI20" i="4"/>
  <c r="CI19" i="4"/>
  <c r="CI18" i="4"/>
  <c r="CI17" i="4"/>
  <c r="CI16" i="4"/>
  <c r="CI15" i="4"/>
  <c r="CI14" i="4"/>
  <c r="CI13" i="4"/>
  <c r="CI12" i="4"/>
  <c r="CJ14" i="4"/>
  <c r="CJ13" i="4"/>
  <c r="CJ11" i="4"/>
  <c r="CJ10" i="4"/>
  <c r="CJ9" i="4"/>
  <c r="CJ7" i="4"/>
  <c r="CJ5" i="4"/>
  <c r="CI11" i="4"/>
  <c r="CI10" i="4"/>
  <c r="CI9" i="4"/>
  <c r="CI8" i="4"/>
  <c r="CI7" i="4"/>
  <c r="CI6" i="4"/>
  <c r="CI5" i="4"/>
  <c r="CK41" i="4" l="1"/>
  <c r="CI41" i="4"/>
  <c r="CU15" i="4" l="1"/>
  <c r="CT15" i="4"/>
  <c r="CS15" i="4"/>
  <c r="CU16" i="4"/>
  <c r="CU17" i="4"/>
  <c r="CU18" i="4"/>
  <c r="CU19" i="4"/>
  <c r="CU20" i="4"/>
  <c r="CU21" i="4"/>
  <c r="CU22" i="4"/>
  <c r="CU23" i="4"/>
  <c r="CU24" i="4"/>
  <c r="CU25" i="4"/>
  <c r="CU26" i="4"/>
  <c r="CU27" i="4"/>
  <c r="CU28" i="4"/>
  <c r="CT16" i="4"/>
  <c r="CT17" i="4"/>
  <c r="CT18" i="4"/>
  <c r="CT19" i="4"/>
  <c r="CT20" i="4"/>
  <c r="CT21" i="4"/>
  <c r="CT22" i="4"/>
  <c r="CT23" i="4"/>
  <c r="CT24" i="4"/>
  <c r="CT25" i="4"/>
  <c r="CT26" i="4"/>
  <c r="CT27" i="4"/>
  <c r="CT28" i="4"/>
  <c r="CS16" i="4"/>
  <c r="CS17" i="4"/>
  <c r="CS18" i="4"/>
  <c r="CS19" i="4"/>
  <c r="CS20" i="4"/>
  <c r="CS21" i="4"/>
  <c r="CS22" i="4"/>
  <c r="CS23" i="4"/>
  <c r="CS24" i="4"/>
  <c r="CS25" i="4"/>
  <c r="CS26" i="4"/>
  <c r="CS27" i="4"/>
  <c r="CS28" i="4"/>
  <c r="CP17" i="4"/>
  <c r="CP18" i="4"/>
  <c r="CP19" i="4"/>
  <c r="CP20" i="4"/>
  <c r="CP21" i="4"/>
  <c r="CP22" i="4"/>
  <c r="CP23" i="4"/>
  <c r="CP24" i="4"/>
  <c r="CP25" i="4"/>
  <c r="CP26" i="4"/>
  <c r="CP27" i="4"/>
  <c r="CP28" i="4"/>
  <c r="CP29" i="4"/>
  <c r="CP15" i="4"/>
  <c r="CN16" i="4"/>
  <c r="CN18" i="4"/>
  <c r="CN19" i="4"/>
  <c r="CN20" i="4"/>
  <c r="CN21" i="4"/>
  <c r="CN22" i="4"/>
  <c r="CN23" i="4"/>
  <c r="CN24" i="4"/>
  <c r="CN25" i="4"/>
  <c r="CN26" i="4"/>
  <c r="CN27" i="4"/>
  <c r="CN28" i="4"/>
  <c r="CN29" i="4"/>
  <c r="CN15" i="4"/>
  <c r="CU30" i="4" l="1"/>
  <c r="CT30" i="4"/>
  <c r="CS30" i="4"/>
  <c r="CK56" i="4"/>
  <c r="CK57" i="4"/>
  <c r="CK58" i="4"/>
  <c r="CK59" i="4"/>
  <c r="CK60" i="4"/>
  <c r="CK62" i="4"/>
  <c r="CK63" i="4"/>
  <c r="CK64" i="4"/>
  <c r="CK65" i="4"/>
  <c r="CK66" i="4"/>
  <c r="CK67" i="4"/>
  <c r="CK68" i="4"/>
  <c r="CK69" i="4"/>
  <c r="CK55" i="4"/>
  <c r="CI56" i="4"/>
  <c r="CI57" i="4"/>
  <c r="CI58" i="4"/>
  <c r="CI59" i="4"/>
  <c r="CI60" i="4"/>
  <c r="CI61" i="4"/>
  <c r="CI62" i="4"/>
  <c r="CI64" i="4"/>
  <c r="CI65" i="4"/>
  <c r="CI66" i="4"/>
  <c r="CI67" i="4"/>
  <c r="CI68" i="4"/>
  <c r="CI69" i="4"/>
  <c r="CI55" i="4"/>
  <c r="CK38" i="4"/>
  <c r="CK39" i="4"/>
  <c r="CK40" i="4"/>
  <c r="CK43" i="4"/>
  <c r="CK44" i="4"/>
  <c r="CK45" i="4"/>
  <c r="CK46" i="4"/>
  <c r="CK47" i="4"/>
  <c r="CK48" i="4"/>
  <c r="CK49" i="4"/>
  <c r="CK50" i="4"/>
  <c r="CK51" i="4"/>
  <c r="CK37" i="4"/>
  <c r="CI38" i="4"/>
  <c r="CI39" i="4"/>
  <c r="CI40" i="4"/>
  <c r="CI43" i="4"/>
  <c r="CI44" i="4"/>
  <c r="CI45" i="4"/>
  <c r="CI46" i="4"/>
  <c r="CI47" i="4"/>
  <c r="CI48" i="4"/>
  <c r="CI49" i="4"/>
  <c r="CI50" i="4"/>
  <c r="CI51" i="4"/>
  <c r="CI37" i="4"/>
  <c r="CF47" i="4"/>
  <c r="CD47" i="4"/>
  <c r="CE46" i="4" s="1"/>
  <c r="CB47" i="4"/>
  <c r="CF46" i="4"/>
  <c r="CD46" i="4"/>
  <c r="CB46" i="4"/>
  <c r="CF45" i="4"/>
  <c r="CD45" i="4"/>
  <c r="CB45" i="4"/>
  <c r="CF44" i="4"/>
  <c r="CD44" i="4"/>
  <c r="CB44" i="4"/>
  <c r="CF43" i="4"/>
  <c r="CD43" i="4"/>
  <c r="CB43" i="4"/>
  <c r="CF42" i="4"/>
  <c r="CD42" i="4"/>
  <c r="CB42" i="4"/>
  <c r="CF41" i="4"/>
  <c r="CD41" i="4"/>
  <c r="CB41" i="4"/>
  <c r="CF40" i="4"/>
  <c r="CD40" i="4"/>
  <c r="CB40" i="4"/>
  <c r="CF39" i="4"/>
  <c r="CD39" i="4"/>
  <c r="CB39" i="4"/>
  <c r="CF38" i="4"/>
  <c r="CD38" i="4"/>
  <c r="CB38" i="4"/>
  <c r="CF37" i="4"/>
  <c r="CD37" i="4"/>
  <c r="CB37" i="4"/>
  <c r="CF36" i="4"/>
  <c r="CD36" i="4"/>
  <c r="CB36" i="4"/>
  <c r="CF35" i="4"/>
  <c r="CD35" i="4"/>
  <c r="CB35" i="4"/>
  <c r="CF34" i="4"/>
  <c r="CD34" i="4"/>
  <c r="CB34" i="4"/>
  <c r="CF33" i="4"/>
  <c r="CD33" i="4"/>
  <c r="CB33" i="4"/>
  <c r="I24" i="4"/>
  <c r="J24" i="4" s="1"/>
  <c r="H24" i="4"/>
  <c r="I23" i="4"/>
  <c r="J23" i="4" s="1"/>
  <c r="H23" i="4"/>
  <c r="I22" i="4"/>
  <c r="J22" i="4" s="1"/>
  <c r="H22" i="4"/>
  <c r="I21" i="4"/>
  <c r="J21" i="4" s="1"/>
  <c r="H21" i="4"/>
  <c r="I20" i="4"/>
  <c r="J20" i="4" s="1"/>
  <c r="H20" i="4"/>
  <c r="I19" i="4"/>
  <c r="J19" i="4" s="1"/>
  <c r="O19" i="4" s="1"/>
  <c r="H19" i="4"/>
  <c r="I18" i="4"/>
  <c r="J18" i="4" s="1"/>
  <c r="H18" i="4"/>
  <c r="I17" i="4"/>
  <c r="J17" i="4" s="1"/>
  <c r="H17" i="4"/>
  <c r="I16" i="4"/>
  <c r="J16" i="4" s="1"/>
  <c r="H16" i="4"/>
  <c r="I15" i="4"/>
  <c r="J15" i="4" s="1"/>
  <c r="O15" i="4" s="1"/>
  <c r="H15" i="4"/>
  <c r="I14" i="4"/>
  <c r="J14" i="4" s="1"/>
  <c r="O14" i="4" s="1"/>
  <c r="H14" i="4"/>
  <c r="I13" i="4"/>
  <c r="J13" i="4" s="1"/>
  <c r="H13" i="4"/>
  <c r="I12" i="4"/>
  <c r="J12" i="4" s="1"/>
  <c r="H12" i="4"/>
  <c r="I11" i="4"/>
  <c r="J11" i="4" s="1"/>
  <c r="H11" i="4"/>
  <c r="I10" i="4"/>
  <c r="J10" i="4" s="1"/>
  <c r="H10" i="4"/>
  <c r="CE36" i="4" l="1"/>
  <c r="CE35" i="4"/>
  <c r="CG35" i="4"/>
  <c r="CG36" i="4"/>
  <c r="O22" i="4"/>
  <c r="O17" i="4"/>
  <c r="O16" i="4"/>
  <c r="O13" i="4"/>
  <c r="O21" i="4"/>
  <c r="O18" i="4"/>
  <c r="O24" i="4"/>
  <c r="O11" i="4"/>
  <c r="O10" i="4"/>
  <c r="O20" i="4"/>
  <c r="O23" i="4"/>
  <c r="O12" i="4"/>
  <c r="BR31" i="4"/>
  <c r="BM31" i="4"/>
  <c r="CE48" i="4" l="1"/>
  <c r="CG48" i="4"/>
  <c r="BS3" i="4"/>
  <c r="F32" i="4" s="1"/>
  <c r="CQ14" i="4" s="1"/>
  <c r="BR32" i="4"/>
  <c r="BM37" i="4"/>
  <c r="BR37" i="4"/>
  <c r="BR35" i="4"/>
  <c r="BR30" i="4"/>
  <c r="BR33" i="4"/>
  <c r="BR34" i="4"/>
  <c r="BR36" i="4"/>
  <c r="BM30" i="4"/>
  <c r="BR29" i="4"/>
  <c r="BR26" i="4"/>
  <c r="BR24" i="4"/>
  <c r="BR23" i="4"/>
  <c r="BM34" i="4"/>
  <c r="BM32" i="4"/>
  <c r="BN32" i="4" s="1"/>
  <c r="BM29" i="4"/>
  <c r="BM24" i="4"/>
  <c r="BN24" i="4" s="1"/>
  <c r="BM23" i="4"/>
  <c r="BN23" i="4" s="1"/>
  <c r="BN3" i="4"/>
  <c r="E32" i="4" s="1"/>
  <c r="CO14" i="4" s="1"/>
  <c r="BR9" i="4"/>
  <c r="BR6" i="4"/>
  <c r="BR16" i="4"/>
  <c r="BS15" i="4"/>
  <c r="BR15" i="4"/>
  <c r="BD20" i="4" a="1"/>
  <c r="BD20" i="4" s="1"/>
  <c r="BF20" i="4" s="1"/>
  <c r="BD9" i="4" a="1"/>
  <c r="BD9" i="4" s="1"/>
  <c r="BD19" i="4" a="1"/>
  <c r="BD19" i="4" s="1"/>
  <c r="BF19" i="4" s="1"/>
  <c r="BD8" i="4" a="1"/>
  <c r="BD8" i="4" s="1"/>
  <c r="BD16" i="4"/>
  <c r="H32" i="4" l="1"/>
  <c r="I32" i="4"/>
  <c r="J32" i="4" s="1"/>
  <c r="BF16" i="4"/>
  <c r="F30" i="4" s="1"/>
  <c r="CL36" i="4" s="1"/>
  <c r="BE19" i="4"/>
  <c r="BE20" i="4"/>
  <c r="O32" i="4" l="1"/>
  <c r="BE16" i="4"/>
  <c r="E30" i="4" s="1"/>
  <c r="CJ36" i="4" s="1"/>
  <c r="H30" i="4" l="1"/>
  <c r="I30" i="4"/>
  <c r="J30" i="4" s="1"/>
  <c r="BS24" i="4"/>
  <c r="BR25" i="4"/>
  <c r="BS25" i="4" s="1"/>
  <c r="BS26" i="4"/>
  <c r="BR27" i="4"/>
  <c r="BS27" i="4" s="1"/>
  <c r="BR28" i="4"/>
  <c r="BS28" i="4" s="1"/>
  <c r="BS29" i="4"/>
  <c r="BS30" i="4"/>
  <c r="BS31" i="4"/>
  <c r="BS32" i="4"/>
  <c r="BS33" i="4"/>
  <c r="BS34" i="4"/>
  <c r="BS35" i="4"/>
  <c r="BS36" i="4"/>
  <c r="BS37" i="4"/>
  <c r="BS23" i="4"/>
  <c r="BS18" i="4"/>
  <c r="BR18" i="4"/>
  <c r="BS17" i="4"/>
  <c r="BR17" i="4"/>
  <c r="BS16" i="4"/>
  <c r="BN17" i="4"/>
  <c r="BN16" i="4"/>
  <c r="BM16" i="4"/>
  <c r="BM17" i="4"/>
  <c r="BN18" i="4"/>
  <c r="BM18" i="4"/>
  <c r="BM33" i="4"/>
  <c r="BN33" i="4" s="1"/>
  <c r="BN34" i="4"/>
  <c r="BM35" i="4"/>
  <c r="BN35" i="4" s="1"/>
  <c r="BM36" i="4"/>
  <c r="BN36" i="4" s="1"/>
  <c r="BN37" i="4"/>
  <c r="BN31" i="4"/>
  <c r="BN30" i="4"/>
  <c r="BN29" i="4"/>
  <c r="BM25" i="4"/>
  <c r="BN25" i="4" s="1"/>
  <c r="BM26" i="4"/>
  <c r="BN26" i="4" s="1"/>
  <c r="BM27" i="4"/>
  <c r="BN27" i="4" s="1"/>
  <c r="BM28" i="4"/>
  <c r="BN28" i="4" s="1"/>
  <c r="BN15" i="4"/>
  <c r="BM15" i="4"/>
  <c r="BM9" i="4"/>
  <c r="BM6" i="4"/>
  <c r="BD24" i="4"/>
  <c r="BF24" i="4" s="1"/>
  <c r="BD25" i="4"/>
  <c r="BE25" i="4" s="1"/>
  <c r="BD26" i="4"/>
  <c r="BF26" i="4" s="1"/>
  <c r="BD27" i="4"/>
  <c r="BF27" i="4" s="1"/>
  <c r="BD28" i="4"/>
  <c r="BF28" i="4" s="1"/>
  <c r="BD29" i="4"/>
  <c r="BF29" i="4" s="1"/>
  <c r="BD30" i="4"/>
  <c r="BE30" i="4" s="1"/>
  <c r="BD31" i="4"/>
  <c r="BF31" i="4" s="1"/>
  <c r="BD32" i="4"/>
  <c r="BF32" i="4" s="1"/>
  <c r="BD33" i="4"/>
  <c r="BE33" i="4" s="1"/>
  <c r="BD34" i="4"/>
  <c r="BF34" i="4" s="1"/>
  <c r="BD35" i="4"/>
  <c r="BF35" i="4" s="1"/>
  <c r="BD36" i="4"/>
  <c r="BF36" i="4" s="1"/>
  <c r="BD37" i="4"/>
  <c r="BF37" i="4" s="1"/>
  <c r="BD23" i="4"/>
  <c r="BE23" i="4" s="1"/>
  <c r="BE9" i="4"/>
  <c r="BF8" i="4"/>
  <c r="F29" i="4" s="1"/>
  <c r="O30" i="4" l="1"/>
  <c r="BE34" i="4"/>
  <c r="BE35" i="4"/>
  <c r="BE27" i="4"/>
  <c r="BE26" i="4"/>
  <c r="BE37" i="4"/>
  <c r="BF23" i="4"/>
  <c r="BE32" i="4"/>
  <c r="BE24" i="4"/>
  <c r="BE31" i="4"/>
  <c r="BE28" i="4"/>
  <c r="BP23" i="4"/>
  <c r="BE36" i="4"/>
  <c r="BF30" i="4"/>
  <c r="BE29" i="4"/>
  <c r="BU23" i="4"/>
  <c r="BF25" i="4"/>
  <c r="BF33" i="4"/>
  <c r="BE8" i="4"/>
  <c r="E29" i="4" s="1"/>
  <c r="BF9" i="4"/>
  <c r="H29" i="4" l="1"/>
  <c r="I29" i="4"/>
  <c r="J29" i="4" s="1"/>
  <c r="BH23" i="4" a="1"/>
  <c r="BH23" i="4" s="1"/>
  <c r="BH32" i="4" s="1"/>
  <c r="E31" i="4" s="1"/>
  <c r="CJ54" i="4" s="1"/>
  <c r="BH28" i="4" a="1"/>
  <c r="BH28" i="4" s="1"/>
  <c r="BI32" i="4" s="1"/>
  <c r="O29" i="4" l="1"/>
  <c r="F31" i="4"/>
  <c r="CL54" i="4" s="1"/>
  <c r="I31" i="4"/>
  <c r="J31" i="4" s="1"/>
  <c r="H31" i="4"/>
  <c r="O31" i="4" l="1"/>
  <c r="BA7" i="4" l="1"/>
  <c r="G10" i="4"/>
  <c r="K10" i="4"/>
  <c r="L10" i="4"/>
  <c r="M10" i="4"/>
  <c r="N10" i="4"/>
  <c r="BA10" i="4"/>
  <c r="G11" i="4"/>
  <c r="K11" i="4"/>
  <c r="L11" i="4"/>
  <c r="M11" i="4"/>
  <c r="N11" i="4"/>
  <c r="BA11" i="4"/>
  <c r="G12" i="4"/>
  <c r="K12" i="4"/>
  <c r="L12" i="4"/>
  <c r="M12" i="4"/>
  <c r="N12" i="4"/>
  <c r="BA12" i="4"/>
  <c r="G13" i="4"/>
  <c r="K13" i="4"/>
  <c r="L13" i="4"/>
  <c r="M13" i="4"/>
  <c r="N13" i="4"/>
  <c r="BA13" i="4"/>
  <c r="G14" i="4"/>
  <c r="K14" i="4"/>
  <c r="L14" i="4"/>
  <c r="M14" i="4"/>
  <c r="N14" i="4"/>
  <c r="BA14" i="4"/>
  <c r="G15" i="4"/>
  <c r="K15" i="4"/>
  <c r="L15" i="4"/>
  <c r="M15" i="4"/>
  <c r="N15" i="4"/>
  <c r="BA15" i="4"/>
  <c r="G16" i="4"/>
  <c r="K16" i="4"/>
  <c r="L16" i="4"/>
  <c r="M16" i="4"/>
  <c r="N16" i="4"/>
  <c r="BA16" i="4"/>
  <c r="G17" i="4"/>
  <c r="K17" i="4"/>
  <c r="L17" i="4"/>
  <c r="M17" i="4"/>
  <c r="N17" i="4"/>
  <c r="BA17" i="4"/>
  <c r="G18" i="4"/>
  <c r="K18" i="4"/>
  <c r="L18" i="4"/>
  <c r="M18" i="4"/>
  <c r="N18" i="4"/>
  <c r="BA18" i="4"/>
  <c r="G19" i="4"/>
  <c r="K19" i="4"/>
  <c r="L19" i="4"/>
  <c r="M19" i="4"/>
  <c r="N19" i="4"/>
  <c r="BA19" i="4"/>
  <c r="G20" i="4"/>
  <c r="K20" i="4"/>
  <c r="L20" i="4"/>
  <c r="M20" i="4"/>
  <c r="N20" i="4"/>
  <c r="BA20" i="4"/>
  <c r="G21" i="4"/>
  <c r="K21" i="4"/>
  <c r="L21" i="4"/>
  <c r="M21" i="4"/>
  <c r="N21" i="4"/>
  <c r="BA21" i="4"/>
  <c r="G22" i="4"/>
  <c r="K22" i="4"/>
  <c r="L22" i="4"/>
  <c r="M22" i="4"/>
  <c r="N22" i="4"/>
  <c r="BA22" i="4"/>
  <c r="G23" i="4"/>
  <c r="K23" i="4"/>
  <c r="L23" i="4"/>
  <c r="M23" i="4"/>
  <c r="N23" i="4"/>
  <c r="BA23" i="4"/>
  <c r="G24" i="4"/>
  <c r="K24" i="4"/>
  <c r="L24" i="4"/>
  <c r="M24" i="4"/>
  <c r="N24" i="4"/>
  <c r="BA24" i="4"/>
  <c r="BB27" i="4"/>
  <c r="D28" i="4" a="1"/>
  <c r="D28" i="4"/>
  <c r="E28" i="4" a="1"/>
  <c r="E28" i="4"/>
  <c r="F28" i="4" a="1"/>
  <c r="F28" i="4"/>
  <c r="G28" i="4"/>
  <c r="H28" i="4"/>
  <c r="I28" i="4"/>
  <c r="J28" i="4"/>
  <c r="K28" i="4"/>
  <c r="L28" i="4"/>
  <c r="M28" i="4"/>
  <c r="N28" i="4"/>
  <c r="O28" i="4"/>
  <c r="BA28" i="4"/>
  <c r="BB28" i="4"/>
  <c r="G29" i="4"/>
  <c r="K29" i="4"/>
  <c r="L29" i="4"/>
  <c r="M29" i="4"/>
  <c r="N29" i="4"/>
  <c r="BA29" i="4"/>
  <c r="G30" i="4"/>
  <c r="K30" i="4"/>
  <c r="L30" i="4"/>
  <c r="M30" i="4"/>
  <c r="N30" i="4"/>
  <c r="G31" i="4"/>
  <c r="K31" i="4"/>
  <c r="L31" i="4"/>
  <c r="M31" i="4"/>
  <c r="N31" i="4"/>
  <c r="G32" i="4"/>
  <c r="K32" i="4"/>
  <c r="L32" i="4"/>
  <c r="M32" i="4"/>
  <c r="N3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6" authorId="0" shapeId="0" xr:uid="{FCED1FEC-B91D-014A-A6ED-9A9C26A7CD8C}">
      <text>
        <r>
          <rPr>
            <sz val="10"/>
            <color rgb="FF000000"/>
            <rFont val="Tahoma"/>
            <family val="2"/>
          </rPr>
          <t>Does Interest Expenses need to be deducted before paying taxes or Not</t>
        </r>
      </text>
    </comment>
    <comment ref="K7" authorId="0" shapeId="0" xr:uid="{288AA089-1FE9-6346-B3FB-202BB2CB86BA}">
      <text>
        <r>
          <rPr>
            <sz val="10"/>
            <color rgb="FF000000"/>
            <rFont val="Tahoma"/>
            <family val="2"/>
          </rPr>
          <t>Taxable Income = Operating Income - Financial Distress Cost - Interest Cost</t>
        </r>
      </text>
    </comment>
    <comment ref="B29" authorId="0" shapeId="0" xr:uid="{D5098AFF-C2B4-0941-90E4-68B2F1E804FD}">
      <text>
        <r>
          <rPr>
            <sz val="10"/>
            <color rgb="FF000000"/>
            <rFont val="Tahoma"/>
            <family val="2"/>
          </rPr>
          <t xml:space="preserve">In this method we assume </t>
        </r>
        <r>
          <rPr>
            <sz val="10"/>
            <color rgb="FF000000"/>
            <rFont val="Symbol"/>
            <family val="2"/>
            <charset val="2"/>
          </rPr>
          <t>b</t>
        </r>
        <r>
          <rPr>
            <vertAlign val="subscript"/>
            <sz val="10"/>
            <color rgb="FF000000"/>
            <rFont val="Tahoma"/>
            <family val="2"/>
          </rPr>
          <t>D</t>
        </r>
        <r>
          <rPr>
            <sz val="10"/>
            <color rgb="FF000000"/>
            <rFont val="Tahoma"/>
            <family val="2"/>
          </rPr>
          <t xml:space="preserve"> and F/A between two consecutive level of D/A is equal to the </t>
        </r>
        <r>
          <rPr>
            <sz val="10"/>
            <color rgb="FF000000"/>
            <rFont val="Symbol"/>
            <family val="2"/>
            <charset val="2"/>
          </rPr>
          <t>b</t>
        </r>
        <r>
          <rPr>
            <vertAlign val="subscript"/>
            <sz val="10"/>
            <color rgb="FF000000"/>
            <rFont val="Calibri"/>
            <family val="2"/>
            <scheme val="minor"/>
          </rPr>
          <t>D</t>
        </r>
        <r>
          <rPr>
            <sz val="10"/>
            <color rgb="FF000000"/>
            <rFont val="Calibri"/>
            <family val="2"/>
            <scheme val="minor"/>
          </rPr>
          <t xml:space="preserve"> </t>
        </r>
        <r>
          <rPr>
            <sz val="10"/>
            <color rgb="FF000000"/>
            <rFont val="Tahoma"/>
            <family val="2"/>
          </rPr>
          <t>and F/A of the lower D/A of the range</t>
        </r>
      </text>
    </comment>
    <comment ref="B30" authorId="0" shapeId="0" xr:uid="{FC9FE860-EE91-684C-8AC1-8F6F8786407E}">
      <text>
        <r>
          <rPr>
            <sz val="10.5"/>
            <color rgb="FF000000"/>
            <rFont val="Calibri"/>
            <family val="2"/>
            <scheme val="minor"/>
          </rPr>
          <t xml:space="preserve">In this method we assume </t>
        </r>
        <r>
          <rPr>
            <sz val="10.5"/>
            <color rgb="FF000000"/>
            <rFont val="Symbol"/>
            <family val="2"/>
            <charset val="2"/>
          </rPr>
          <t>b</t>
        </r>
        <r>
          <rPr>
            <vertAlign val="subscript"/>
            <sz val="10.5"/>
            <color rgb="FF000000"/>
            <rFont val="Calibri"/>
            <family val="2"/>
            <scheme val="minor"/>
          </rPr>
          <t>D</t>
        </r>
        <r>
          <rPr>
            <sz val="10.5"/>
            <color rgb="FF000000"/>
            <rFont val="Calibri"/>
            <family val="2"/>
            <scheme val="minor"/>
          </rPr>
          <t xml:space="preserve"> and F/A between two consecutive level of D/A is a straight line.</t>
        </r>
        <r>
          <rPr>
            <sz val="5"/>
            <color rgb="FF000000"/>
            <rFont val="Calibri"/>
            <family val="2"/>
            <scheme val="minor"/>
          </rPr>
          <t xml:space="preserve">
</t>
        </r>
      </text>
    </comment>
    <comment ref="B31" authorId="0" shapeId="0" xr:uid="{1D57F6F3-D185-C441-A70F-7E9122117F83}">
      <text>
        <r>
          <rPr>
            <sz val="10"/>
            <color rgb="FF000000"/>
            <rFont val="Tahoma"/>
            <family val="2"/>
          </rPr>
          <t>In this method we build a curve that best fits a seriers of data points by minimizing the error</t>
        </r>
      </text>
    </comment>
    <comment ref="B32" authorId="0" shapeId="0" xr:uid="{998FF9B4-40A9-9246-AA5E-7E17EC4A209F}">
      <text>
        <r>
          <rPr>
            <sz val="10"/>
            <color rgb="FF000000"/>
            <rFont val="Tahoma"/>
            <family val="2"/>
          </rPr>
          <t>This methods tries to describe the whole dataset using 2 equations unlike Best Fit Curve. This helps to reduce the deviation from some ponits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<sst xmlns="http://schemas.openxmlformats.org/spreadsheetml/2006/main" count="168" uniqueCount="80">
  <si>
    <t>Market risk premium (MRP)</t>
  </si>
  <si>
    <t>Tax rate (T)</t>
  </si>
  <si>
    <t>Operating Income (EBIT0)</t>
  </si>
  <si>
    <t>D/A</t>
  </si>
  <si>
    <t>Financial Distress Cost F/A (%)</t>
  </si>
  <si>
    <r>
      <rPr>
        <sz val="11"/>
        <color theme="1"/>
        <rFont val="Symbol"/>
        <family val="1"/>
        <charset val="2"/>
      </rPr>
      <t>b</t>
    </r>
    <r>
      <rPr>
        <vertAlign val="subscript"/>
        <sz val="11"/>
        <color theme="1"/>
        <rFont val="Calibri"/>
        <family val="2"/>
        <scheme val="minor"/>
      </rPr>
      <t>D</t>
    </r>
  </si>
  <si>
    <r>
      <t>Risk-free rate (r</t>
    </r>
    <r>
      <rPr>
        <vertAlign val="subscript"/>
        <sz val="11"/>
        <color theme="1"/>
        <rFont val="Calibri"/>
        <family val="2"/>
        <scheme val="minor"/>
      </rPr>
      <t>f</t>
    </r>
    <r>
      <rPr>
        <sz val="11"/>
        <color theme="1"/>
        <rFont val="Calibri"/>
        <family val="2"/>
        <scheme val="minor"/>
      </rPr>
      <t>)</t>
    </r>
  </si>
  <si>
    <r>
      <t>Beta of Assets (</t>
    </r>
    <r>
      <rPr>
        <sz val="11"/>
        <color theme="1"/>
        <rFont val="Symbol"/>
        <family val="1"/>
        <charset val="2"/>
      </rPr>
      <t>b</t>
    </r>
    <r>
      <rPr>
        <vertAlign val="subscript"/>
        <sz val="11"/>
        <color theme="1"/>
        <rFont val="Calibri"/>
        <family val="2"/>
        <scheme val="minor"/>
      </rPr>
      <t>A</t>
    </r>
    <r>
      <rPr>
        <sz val="11"/>
        <color theme="1"/>
        <rFont val="Calibri"/>
        <family val="2"/>
        <scheme val="minor"/>
      </rPr>
      <t>)</t>
    </r>
  </si>
  <si>
    <t>A</t>
  </si>
  <si>
    <t>D</t>
  </si>
  <si>
    <t>Taxable Income</t>
  </si>
  <si>
    <t>Net Income</t>
  </si>
  <si>
    <t>E</t>
  </si>
  <si>
    <t>WACC</t>
  </si>
  <si>
    <r>
      <t>r</t>
    </r>
    <r>
      <rPr>
        <vertAlign val="subscript"/>
        <sz val="11"/>
        <color theme="1"/>
        <rFont val="Calibri (Body)"/>
      </rPr>
      <t>D</t>
    </r>
  </si>
  <si>
    <r>
      <rPr>
        <sz val="11"/>
        <color theme="1"/>
        <rFont val="Symbol"/>
        <family val="1"/>
        <charset val="2"/>
      </rPr>
      <t>b</t>
    </r>
    <r>
      <rPr>
        <vertAlign val="subscript"/>
        <sz val="11"/>
        <color theme="1"/>
        <rFont val="Calibri (Body)"/>
      </rPr>
      <t>E</t>
    </r>
  </si>
  <si>
    <r>
      <t>r</t>
    </r>
    <r>
      <rPr>
        <vertAlign val="subscript"/>
        <sz val="11"/>
        <color theme="1"/>
        <rFont val="Calibri (Body)"/>
      </rPr>
      <t>E</t>
    </r>
  </si>
  <si>
    <t>Round(A)</t>
  </si>
  <si>
    <t>row (max value)</t>
  </si>
  <si>
    <t>Dash Line</t>
  </si>
  <si>
    <r>
      <rPr>
        <sz val="11"/>
        <color theme="1"/>
        <rFont val="Symbol"/>
        <family val="1"/>
        <charset val="2"/>
      </rPr>
      <t>b</t>
    </r>
    <r>
      <rPr>
        <vertAlign val="subscript"/>
        <sz val="11"/>
        <color theme="1"/>
        <rFont val="Calibri (Body)"/>
      </rPr>
      <t>D</t>
    </r>
  </si>
  <si>
    <t>F/A</t>
  </si>
  <si>
    <t>Stepwise Range</t>
  </si>
  <si>
    <t>range</t>
  </si>
  <si>
    <r>
      <t>b</t>
    </r>
    <r>
      <rPr>
        <vertAlign val="subscript"/>
        <sz val="11"/>
        <color theme="1"/>
        <rFont val="Calibri (Body)"/>
      </rPr>
      <t>D</t>
    </r>
    <r>
      <rPr>
        <vertAlign val="superscript"/>
        <sz val="11"/>
        <color theme="1"/>
        <rFont val="Symbol"/>
        <family val="1"/>
        <charset val="2"/>
      </rPr>
      <t>*</t>
    </r>
  </si>
  <si>
    <r>
      <t>F/A</t>
    </r>
    <r>
      <rPr>
        <vertAlign val="superscript"/>
        <sz val="11"/>
        <color theme="1"/>
        <rFont val="Calibri (Body)"/>
      </rPr>
      <t>*</t>
    </r>
  </si>
  <si>
    <t>Stepwise</t>
  </si>
  <si>
    <t>Best Fit Curve</t>
  </si>
  <si>
    <t>Intercept</t>
  </si>
  <si>
    <r>
      <t>(D/A)</t>
    </r>
    <r>
      <rPr>
        <vertAlign val="superscript"/>
        <sz val="11"/>
        <color theme="1"/>
        <rFont val="Calibri (Body)"/>
      </rPr>
      <t>3</t>
    </r>
  </si>
  <si>
    <r>
      <t>(D/A)</t>
    </r>
    <r>
      <rPr>
        <vertAlign val="superscript"/>
        <sz val="11"/>
        <color theme="1"/>
        <rFont val="Calibri (Body)"/>
      </rPr>
      <t>2</t>
    </r>
  </si>
  <si>
    <r>
      <rPr>
        <sz val="11"/>
        <color theme="1"/>
        <rFont val="Symbol"/>
        <family val="1"/>
        <charset val="2"/>
      </rPr>
      <t>b</t>
    </r>
    <r>
      <rPr>
        <vertAlign val="subscript"/>
        <sz val="11"/>
        <color theme="1"/>
        <rFont val="Calibri (Body)"/>
      </rPr>
      <t>D</t>
    </r>
    <r>
      <rPr>
        <sz val="11"/>
        <color theme="1"/>
        <rFont val="Calibri (Body)"/>
      </rPr>
      <t xml:space="preserve"> </t>
    </r>
    <r>
      <rPr>
        <sz val="11"/>
        <color theme="1"/>
        <rFont val="Calibri"/>
        <family val="2"/>
        <scheme val="minor"/>
      </rPr>
      <t>Coefficients</t>
    </r>
  </si>
  <si>
    <r>
      <rPr>
        <sz val="11"/>
        <color theme="1"/>
        <rFont val="Calibri (Body)"/>
      </rPr>
      <t xml:space="preserve">F/A </t>
    </r>
    <r>
      <rPr>
        <sz val="11"/>
        <color theme="1"/>
        <rFont val="Calibri"/>
        <family val="2"/>
        <scheme val="minor"/>
      </rPr>
      <t>Coefficients</t>
    </r>
  </si>
  <si>
    <t>Best Fit Segment</t>
  </si>
  <si>
    <r>
      <t>a</t>
    </r>
    <r>
      <rPr>
        <vertAlign val="subscript"/>
        <sz val="11"/>
        <color theme="1"/>
        <rFont val="Calibri (Body)"/>
      </rPr>
      <t>1</t>
    </r>
  </si>
  <si>
    <r>
      <t>b</t>
    </r>
    <r>
      <rPr>
        <vertAlign val="subscript"/>
        <sz val="11"/>
        <color theme="1"/>
        <rFont val="Calibri (Body)"/>
      </rPr>
      <t>1</t>
    </r>
  </si>
  <si>
    <r>
      <t>c</t>
    </r>
    <r>
      <rPr>
        <vertAlign val="subscript"/>
        <sz val="11"/>
        <color theme="1"/>
        <rFont val="Calibri (Body)"/>
      </rPr>
      <t>1</t>
    </r>
  </si>
  <si>
    <r>
      <t>d</t>
    </r>
    <r>
      <rPr>
        <vertAlign val="subscript"/>
        <sz val="11"/>
        <color theme="1"/>
        <rFont val="Calibri (Body)"/>
      </rPr>
      <t>1</t>
    </r>
  </si>
  <si>
    <r>
      <t>a</t>
    </r>
    <r>
      <rPr>
        <vertAlign val="subscript"/>
        <sz val="11"/>
        <color theme="1"/>
        <rFont val="Calibri (Body)"/>
      </rPr>
      <t>2</t>
    </r>
  </si>
  <si>
    <r>
      <t>b</t>
    </r>
    <r>
      <rPr>
        <vertAlign val="subscript"/>
        <sz val="11"/>
        <color theme="1"/>
        <rFont val="Calibri (Body)"/>
      </rPr>
      <t>2</t>
    </r>
  </si>
  <si>
    <r>
      <t>c</t>
    </r>
    <r>
      <rPr>
        <vertAlign val="subscript"/>
        <sz val="11"/>
        <color theme="1"/>
        <rFont val="Calibri (Body)"/>
      </rPr>
      <t>2</t>
    </r>
  </si>
  <si>
    <r>
      <t>d</t>
    </r>
    <r>
      <rPr>
        <vertAlign val="subscript"/>
        <sz val="11"/>
        <color theme="1"/>
        <rFont val="Calibri (Body)"/>
      </rPr>
      <t>2</t>
    </r>
  </si>
  <si>
    <t>Junction Point</t>
  </si>
  <si>
    <t>Errors</t>
  </si>
  <si>
    <t>Sum of SE</t>
  </si>
  <si>
    <r>
      <t xml:space="preserve">Best Fit Segment of </t>
    </r>
    <r>
      <rPr>
        <sz val="11"/>
        <color theme="0"/>
        <rFont val="Symbol"/>
        <family val="1"/>
        <charset val="2"/>
      </rPr>
      <t>b</t>
    </r>
    <r>
      <rPr>
        <vertAlign val="subscript"/>
        <sz val="11"/>
        <color theme="0"/>
        <rFont val="Calibri (Body)"/>
      </rPr>
      <t>D</t>
    </r>
  </si>
  <si>
    <t>SE</t>
  </si>
  <si>
    <r>
      <rPr>
        <sz val="11"/>
        <color theme="0"/>
        <rFont val="Symbol"/>
        <family val="1"/>
        <charset val="2"/>
      </rPr>
      <t>b</t>
    </r>
    <r>
      <rPr>
        <vertAlign val="subscript"/>
        <sz val="11"/>
        <color theme="0"/>
        <rFont val="Calibri (Body)"/>
      </rPr>
      <t>D</t>
    </r>
  </si>
  <si>
    <t>Piecewise Linear</t>
  </si>
  <si>
    <t>Factory Value</t>
  </si>
  <si>
    <t>User Value</t>
  </si>
  <si>
    <t>Work Area: Please do not make changes in this section unless you know what you are doing</t>
  </si>
  <si>
    <t xml:space="preserve">Optimal Capital Structure </t>
  </si>
  <si>
    <t>Based on the Debt Schedule</t>
  </si>
  <si>
    <t>Theoritically Optimal Capital Structure Determination</t>
  </si>
  <si>
    <t>Interest Expense Deductible</t>
  </si>
  <si>
    <t>Yes</t>
  </si>
  <si>
    <t>No</t>
  </si>
  <si>
    <t>Financial Distress Cost</t>
  </si>
  <si>
    <t>F/A (%)</t>
  </si>
  <si>
    <t>F/EBIT0 (%)</t>
  </si>
  <si>
    <t>Debt Schedule</t>
  </si>
  <si>
    <r>
      <rPr>
        <sz val="11"/>
        <color theme="1"/>
        <rFont val="Symbol"/>
        <family val="1"/>
        <charset val="2"/>
      </rPr>
      <t>b</t>
    </r>
    <r>
      <rPr>
        <vertAlign val="subscript"/>
        <sz val="11"/>
        <color theme="1"/>
        <rFont val="Calibri"/>
        <family val="2"/>
      </rPr>
      <t>D</t>
    </r>
  </si>
  <si>
    <t>Optimal Capital Structure</t>
  </si>
  <si>
    <t>Navigation Button</t>
  </si>
  <si>
    <t>Data Validation and Consistency Check</t>
  </si>
  <si>
    <t>Risk - Free Rate</t>
  </si>
  <si>
    <t>Beta of Debt</t>
  </si>
  <si>
    <t>F/A or F/EBIT0</t>
  </si>
  <si>
    <t>MRP</t>
  </si>
  <si>
    <t>Tax Rate</t>
  </si>
  <si>
    <t>EBIT0</t>
  </si>
  <si>
    <t>Beta of Asset</t>
  </si>
  <si>
    <r>
      <rPr>
        <b/>
        <sz val="11"/>
        <color theme="0"/>
        <rFont val="Symbol"/>
        <family val="1"/>
        <charset val="2"/>
      </rPr>
      <t>b</t>
    </r>
    <r>
      <rPr>
        <b/>
        <vertAlign val="subscript"/>
        <sz val="11"/>
        <color theme="0"/>
        <rFont val="Calibri"/>
        <family val="2"/>
        <scheme val="minor"/>
      </rPr>
      <t>D</t>
    </r>
    <r>
      <rPr>
        <b/>
        <sz val="11"/>
        <color theme="0"/>
        <rFont val="Calibri"/>
        <family val="2"/>
        <scheme val="minor"/>
      </rPr>
      <t xml:space="preserve"> and Financial Distress Cost relationship with D/A</t>
    </r>
  </si>
  <si>
    <t>Best Fit Segments</t>
  </si>
  <si>
    <t>Ascending Order</t>
  </si>
  <si>
    <t>Increasing</t>
  </si>
  <si>
    <t>Non-decreasing</t>
  </si>
  <si>
    <t>sum</t>
  </si>
  <si>
    <t>Sum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</si>
</sst>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quot;$&quot;#,##0.00"/>
    <numFmt numFmtId="166" formatCode="[$$-409]#,##0.00"/>
    <numFmt numFmtId="167" formatCode="0.00000"/>
    <numFmt numFmtId="168" formatCode="0.0000"/>
    <numFmt numFmtId="169" formatCode="0.000%"/>
    <numFmt numFmtId="170" formatCode="0.00000%"/>
  </numFmts>
  <fonts count="43">
    <font>
      <sz val="11"/>
      <color theme="1"/>
      <name val="Calibri"/>
      <family val="2"/>
      <scheme val="minor"/>
    </font>
    <font>
      <sz val="11"/>
      <color rgb="FF3F3F76"/>
      <name val="Calibri"/>
      <family val="2"/>
      <scheme val="minor"/>
    </font>
    <font>
      <vertAlign val="subscript"/>
      <sz val="11"/>
      <color theme="1"/>
      <name val="Calibri"/>
      <family val="2"/>
      <scheme val="minor"/>
    </font>
    <font>
      <sz val="11"/>
      <color theme="1"/>
      <name val="Symbol"/>
      <family val="1"/>
      <charset val="2"/>
    </font>
    <font>
      <sz val="11"/>
      <color theme="1"/>
      <name val="Calibri"/>
      <family val="2"/>
      <scheme val="minor"/>
    </font>
    <font>
      <sz val="11"/>
      <color theme="1"/>
      <name val="Symbol"/>
      <family val="1"/>
      <charset val="2"/>
    </font>
    <font>
      <sz val="11"/>
      <color theme="1"/>
      <name val="Calibri"/>
      <family val="2"/>
      <charset val="2"/>
    </font>
    <font>
      <vertAlign val="subscript"/>
      <sz val="11"/>
      <color theme="1"/>
      <name val="Calibri (Body)"/>
    </font>
    <font>
      <sz val="11"/>
      <color theme="1"/>
      <name val="Calibri"/>
      <family val="1"/>
      <charset val="2"/>
      <scheme val="minor"/>
    </font>
    <font>
      <sz val="11"/>
      <color rgb="FF000000"/>
      <name val="Calibri"/>
      <family val="2"/>
    </font>
    <font>
      <sz val="11"/>
      <color theme="1"/>
      <name val="Calibri (Body)"/>
    </font>
    <font>
      <vertAlign val="superscript"/>
      <sz val="11"/>
      <color theme="1"/>
      <name val="Symbol"/>
      <family val="1"/>
      <charset val="2"/>
    </font>
    <font>
      <vertAlign val="superscript"/>
      <sz val="11"/>
      <color theme="1"/>
      <name val="Calibri (Body)"/>
    </font>
    <font>
      <i/>
      <sz val="11"/>
      <color theme="1"/>
      <name val="Calibri"/>
      <family val="2"/>
      <scheme val="minor"/>
    </font>
    <font>
      <sz val="11"/>
      <color theme="1"/>
      <name val="Calibri"/>
      <family val="2"/>
      <charset val="2"/>
      <scheme val="minor"/>
    </font>
    <font>
      <sz val="11"/>
      <color theme="0"/>
      <name val="Calibri"/>
      <family val="2"/>
      <scheme val="minor"/>
    </font>
    <font>
      <sz val="11"/>
      <color theme="0"/>
      <name val="Symbol"/>
      <family val="1"/>
      <charset val="2"/>
    </font>
    <font>
      <vertAlign val="subscript"/>
      <sz val="11"/>
      <color theme="0"/>
      <name val="Calibri (Body)"/>
    </font>
    <font>
      <sz val="11"/>
      <color theme="0"/>
      <name val="Calibri"/>
      <family val="2"/>
      <charset val="2"/>
    </font>
    <font>
      <sz val="12"/>
      <color rgb="FF000000"/>
      <name val="Calibri"/>
      <family val="2"/>
    </font>
    <font>
      <vertAlign val="subscript"/>
      <sz val="12"/>
      <color rgb="FF000000"/>
      <name val="Calibri"/>
      <family val="2"/>
    </font>
    <font>
      <sz val="9"/>
      <name val="Calibri"/>
      <family val="3"/>
      <charset val="134"/>
      <scheme val="minor"/>
    </font>
    <font>
      <b/>
      <sz val="11"/>
      <color theme="0"/>
      <name val="Calibri"/>
      <family val="2"/>
      <scheme val="minor"/>
    </font>
    <font>
      <b/>
      <sz val="15"/>
      <color theme="3"/>
      <name val="Calibri"/>
      <family val="2"/>
      <scheme val="minor"/>
    </font>
    <font>
      <b/>
      <sz val="11"/>
      <color theme="1"/>
      <name val="Calibri"/>
      <family val="2"/>
      <scheme val="minor"/>
    </font>
    <font>
      <b/>
      <sz val="20"/>
      <color theme="3"/>
      <name val="Calibri"/>
      <family val="2"/>
      <scheme val="minor"/>
    </font>
    <font>
      <b/>
      <sz val="14"/>
      <color theme="3"/>
      <name val="Calibri"/>
      <family val="2"/>
      <scheme val="minor"/>
    </font>
    <font>
      <sz val="11"/>
      <color theme="1"/>
      <name val="Calibri"/>
      <family val="1"/>
      <charset val="2"/>
    </font>
    <font>
      <vertAlign val="subscript"/>
      <sz val="11"/>
      <color theme="1"/>
      <name val="Calibri"/>
      <family val="2"/>
    </font>
    <font>
      <b/>
      <sz val="18"/>
      <color theme="0"/>
      <name val="Calibri"/>
      <family val="2"/>
      <scheme val="minor"/>
    </font>
    <font>
      <b/>
      <sz val="11"/>
      <color theme="0"/>
      <name val="Calibri"/>
      <family val="1"/>
      <charset val="2"/>
      <scheme val="minor"/>
    </font>
    <font>
      <b/>
      <sz val="11"/>
      <color theme="0"/>
      <name val="Symbol"/>
      <family val="1"/>
      <charset val="2"/>
    </font>
    <font>
      <b/>
      <vertAlign val="subscript"/>
      <sz val="11"/>
      <color theme="0"/>
      <name val="Calibri"/>
      <family val="2"/>
      <scheme val="minor"/>
    </font>
    <font>
      <sz val="12"/>
      <color rgb="FF000000"/>
      <name val="Symbol"/>
      <charset val="2"/>
    </font>
    <font>
      <sz val="10"/>
      <color rgb="FF000000"/>
      <name val="Tahoma"/>
      <family val="2"/>
    </font>
    <font>
      <sz val="10"/>
      <color rgb="FF000000"/>
      <name val="Symbol"/>
      <family val="2"/>
      <charset val="2"/>
    </font>
    <font>
      <vertAlign val="subscript"/>
      <sz val="10"/>
      <color rgb="FF000000"/>
      <name val="Tahoma"/>
      <family val="2"/>
    </font>
    <font>
      <sz val="10"/>
      <color rgb="FF000000"/>
      <name val="Calibri"/>
      <family val="2"/>
      <scheme val="minor"/>
    </font>
    <font>
      <vertAlign val="subscript"/>
      <sz val="10"/>
      <color rgb="FF000000"/>
      <name val="Calibri"/>
      <family val="2"/>
      <scheme val="minor"/>
    </font>
    <font>
      <sz val="10.5"/>
      <color rgb="FF000000"/>
      <name val="Calibri"/>
      <family val="2"/>
      <scheme val="minor"/>
    </font>
    <font>
      <vertAlign val="subscript"/>
      <sz val="10.5"/>
      <color rgb="FF000000"/>
      <name val="Calibri"/>
      <family val="2"/>
      <scheme val="minor"/>
    </font>
    <font>
      <sz val="5"/>
      <color rgb="FF000000"/>
      <name val="Calibri"/>
      <family val="2"/>
      <scheme val="minor"/>
    </font>
    <font>
      <sz val="10.5"/>
      <color rgb="FF000000"/>
      <name val="Symbol"/>
      <family val="2"/>
      <charset val="2"/>
    </font>
  </fonts>
  <fills count="11">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theme="1"/>
        <bgColor indexed="64"/>
      </patternFill>
    </fill>
    <fill>
      <patternFill patternType="solid">
        <fgColor rgb="FFFFC000"/>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9"/>
        <bgColor indexed="64"/>
      </patternFill>
    </fill>
    <fill>
      <patternFill patternType="solid">
        <fgColor theme="3" tint="0.79998168889431442"/>
        <bgColor indexed="64"/>
      </patternFill>
    </fill>
  </fills>
  <borders count="31">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style="thin">
        <color rgb="FF7F7F7F"/>
      </right>
      <top style="thin">
        <color rgb="FF7F7F7F"/>
      </top>
      <bottom style="thin">
        <color rgb="FF7F7F7F"/>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7F7F7F"/>
      </left>
      <right/>
      <top/>
      <bottom style="thin">
        <color rgb="FF7F7F7F"/>
      </bottom>
      <diagonal/>
    </border>
    <border>
      <left style="thin">
        <color rgb="FF7F7F7F"/>
      </left>
      <right/>
      <top style="thin">
        <color rgb="FF7F7F7F"/>
      </top>
      <bottom style="thin">
        <color rgb="FF7F7F7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4">
    <xf numFmtId="0" fontId="0" fillId="0" borderId="0"/>
    <xf numFmtId="0" fontId="1" fillId="2" borderId="1" applyNumberFormat="0" applyAlignment="0" applyProtection="0"/>
    <xf numFmtId="9" fontId="4" fillId="0" borderId="0" applyFont="0" applyFill="0" applyBorder="0" applyAlignment="0" applyProtection="0"/>
    <xf numFmtId="0" fontId="23" fillId="0" borderId="12" applyNumberFormat="0" applyFill="0" applyAlignment="0" applyProtection="0"/>
  </cellStyleXfs>
  <cellXfs count="129">
    <xf numFmtId="0" fontId="0" fillId="0" borderId="0" xfId="0"/>
    <xf numFmtId="9" fontId="1" fillId="2" borderId="1" xfId="1" applyNumberFormat="1"/>
    <xf numFmtId="164" fontId="1" fillId="2" borderId="1" xfId="1" applyNumberFormat="1"/>
    <xf numFmtId="10" fontId="1" fillId="2" borderId="1" xfId="1" applyNumberFormat="1"/>
    <xf numFmtId="0" fontId="1" fillId="2" borderId="3" xfId="1" applyBorder="1" applyAlignment="1">
      <alignment vertical="center"/>
    </xf>
    <xf numFmtId="10" fontId="1" fillId="2" borderId="3" xfId="1" applyNumberFormat="1" applyBorder="1" applyAlignment="1">
      <alignment vertical="center"/>
    </xf>
    <xf numFmtId="165" fontId="1" fillId="2" borderId="3" xfId="1" applyNumberFormat="1" applyBorder="1" applyAlignment="1">
      <alignment vertical="center"/>
    </xf>
    <xf numFmtId="9" fontId="1" fillId="2" borderId="4" xfId="1" applyNumberFormat="1" applyBorder="1"/>
    <xf numFmtId="164" fontId="1" fillId="2" borderId="4" xfId="1" applyNumberFormat="1" applyBorder="1"/>
    <xf numFmtId="10" fontId="1" fillId="2" borderId="4" xfId="1" applyNumberFormat="1" applyBorder="1"/>
    <xf numFmtId="10" fontId="0" fillId="0" borderId="0" xfId="0" applyNumberFormat="1"/>
    <xf numFmtId="2" fontId="1" fillId="2" borderId="3" xfId="1" applyNumberFormat="1" applyBorder="1" applyAlignment="1">
      <alignment vertical="center"/>
    </xf>
    <xf numFmtId="166" fontId="0" fillId="0" borderId="0" xfId="0" applyNumberFormat="1"/>
    <xf numFmtId="10" fontId="1" fillId="2" borderId="8" xfId="1" applyNumberFormat="1" applyBorder="1"/>
    <xf numFmtId="10" fontId="1" fillId="2" borderId="9" xfId="1" applyNumberFormat="1" applyBorder="1"/>
    <xf numFmtId="166" fontId="0" fillId="0" borderId="2" xfId="0" applyNumberFormat="1" applyBorder="1"/>
    <xf numFmtId="10" fontId="0" fillId="0" borderId="2" xfId="0" applyNumberFormat="1" applyBorder="1"/>
    <xf numFmtId="2" fontId="0" fillId="0" borderId="2" xfId="0" applyNumberFormat="1" applyBorder="1"/>
    <xf numFmtId="10" fontId="0" fillId="0" borderId="2" xfId="2" applyNumberFormat="1" applyFont="1" applyBorder="1"/>
    <xf numFmtId="0" fontId="0" fillId="0" borderId="2" xfId="0" applyBorder="1"/>
    <xf numFmtId="0" fontId="0" fillId="0" borderId="2" xfId="0" applyNumberFormat="1" applyBorder="1"/>
    <xf numFmtId="0" fontId="0" fillId="3" borderId="2" xfId="0" applyFill="1" applyBorder="1"/>
    <xf numFmtId="9" fontId="0" fillId="0" borderId="2" xfId="2" applyFont="1" applyBorder="1"/>
    <xf numFmtId="9" fontId="0" fillId="0" borderId="2" xfId="0" applyNumberFormat="1" applyBorder="1"/>
    <xf numFmtId="164" fontId="0" fillId="0" borderId="2" xfId="0" applyNumberFormat="1" applyBorder="1"/>
    <xf numFmtId="0" fontId="0" fillId="3" borderId="2" xfId="0" applyFill="1" applyBorder="1" applyAlignment="1">
      <alignment horizontal="right"/>
    </xf>
    <xf numFmtId="0" fontId="6" fillId="3" borderId="2" xfId="0" applyFont="1" applyFill="1" applyBorder="1" applyAlignment="1">
      <alignment horizontal="right"/>
    </xf>
    <xf numFmtId="0" fontId="5" fillId="3" borderId="2" xfId="0" applyFont="1" applyFill="1" applyBorder="1" applyAlignment="1">
      <alignment horizontal="right"/>
    </xf>
    <xf numFmtId="0" fontId="0" fillId="0" borderId="0" xfId="0" applyFill="1" applyBorder="1" applyAlignment="1"/>
    <xf numFmtId="0" fontId="0" fillId="0" borderId="0" xfId="0" applyBorder="1"/>
    <xf numFmtId="0" fontId="13" fillId="0" borderId="0" xfId="0" applyFont="1" applyFill="1" applyBorder="1" applyAlignment="1">
      <alignment horizontal="center"/>
    </xf>
    <xf numFmtId="9" fontId="0" fillId="0" borderId="0" xfId="0" applyNumberFormat="1" applyBorder="1"/>
    <xf numFmtId="169" fontId="0" fillId="0" borderId="2" xfId="0" applyNumberFormat="1" applyBorder="1"/>
    <xf numFmtId="169" fontId="0" fillId="0" borderId="2" xfId="2" applyNumberFormat="1" applyFont="1" applyBorder="1"/>
    <xf numFmtId="168" fontId="0" fillId="0" borderId="2" xfId="0" applyNumberFormat="1" applyBorder="1"/>
    <xf numFmtId="0" fontId="18" fillId="4" borderId="2" xfId="0" applyFont="1" applyFill="1" applyBorder="1" applyAlignment="1">
      <alignment horizontal="right"/>
    </xf>
    <xf numFmtId="10" fontId="0" fillId="5" borderId="2" xfId="2" applyNumberFormat="1" applyFont="1" applyFill="1" applyBorder="1"/>
    <xf numFmtId="10" fontId="0" fillId="6" borderId="2" xfId="0" applyNumberFormat="1" applyFill="1" applyBorder="1"/>
    <xf numFmtId="10" fontId="0" fillId="7" borderId="2" xfId="2" applyNumberFormat="1" applyFont="1" applyFill="1" applyBorder="1"/>
    <xf numFmtId="10" fontId="0" fillId="8" borderId="2" xfId="0" applyNumberFormat="1" applyFill="1" applyBorder="1"/>
    <xf numFmtId="170" fontId="0" fillId="0" borderId="2" xfId="2" applyNumberFormat="1" applyFont="1" applyBorder="1"/>
    <xf numFmtId="170" fontId="1" fillId="5" borderId="2" xfId="1" applyNumberFormat="1" applyFill="1" applyBorder="1" applyAlignment="1">
      <alignment vertical="center"/>
    </xf>
    <xf numFmtId="170" fontId="1" fillId="6" borderId="2" xfId="1" applyNumberFormat="1" applyFill="1" applyBorder="1" applyAlignment="1">
      <alignment vertical="center"/>
    </xf>
    <xf numFmtId="170" fontId="1" fillId="7" borderId="2" xfId="1" applyNumberFormat="1" applyFill="1" applyBorder="1" applyAlignment="1">
      <alignment vertical="center"/>
    </xf>
    <xf numFmtId="170" fontId="0" fillId="8" borderId="2" xfId="0" applyNumberFormat="1" applyFill="1" applyBorder="1"/>
    <xf numFmtId="168" fontId="0" fillId="5" borderId="2" xfId="0" applyNumberFormat="1" applyFill="1" applyBorder="1"/>
    <xf numFmtId="168" fontId="0" fillId="6" borderId="2" xfId="0" applyNumberFormat="1" applyFill="1" applyBorder="1"/>
    <xf numFmtId="168" fontId="0" fillId="7" borderId="2" xfId="0" applyNumberFormat="1" applyFill="1" applyBorder="1"/>
    <xf numFmtId="168" fontId="0" fillId="8" borderId="2" xfId="0" applyNumberFormat="1" applyFill="1" applyBorder="1"/>
    <xf numFmtId="0" fontId="24" fillId="0" borderId="2" xfId="0" applyFont="1" applyBorder="1"/>
    <xf numFmtId="0" fontId="0" fillId="0" borderId="2" xfId="0" applyBorder="1" applyAlignment="1">
      <alignment horizontal="right"/>
    </xf>
    <xf numFmtId="2" fontId="1" fillId="2" borderId="3" xfId="1" applyNumberFormat="1" applyBorder="1" applyAlignment="1">
      <alignment horizontal="right" vertical="center"/>
    </xf>
    <xf numFmtId="0" fontId="1" fillId="2" borderId="1" xfId="1" applyAlignment="1">
      <alignment horizontal="center" wrapText="1"/>
    </xf>
    <xf numFmtId="0" fontId="1" fillId="2" borderId="2" xfId="1" applyBorder="1" applyAlignment="1">
      <alignment horizontal="right"/>
    </xf>
    <xf numFmtId="167" fontId="13" fillId="0" borderId="2" xfId="2" applyNumberFormat="1" applyFont="1" applyFill="1" applyBorder="1" applyAlignment="1">
      <alignment horizontal="right"/>
    </xf>
    <xf numFmtId="0" fontId="13" fillId="0" borderId="2" xfId="0" applyFont="1" applyFill="1" applyBorder="1" applyAlignment="1">
      <alignment horizontal="right"/>
    </xf>
    <xf numFmtId="0" fontId="0" fillId="3" borderId="2" xfId="0" applyFill="1" applyBorder="1"/>
    <xf numFmtId="0" fontId="15" fillId="4" borderId="2" xfId="0" applyFont="1" applyFill="1" applyBorder="1" applyAlignment="1">
      <alignment horizontal="center"/>
    </xf>
    <xf numFmtId="0" fontId="0" fillId="3" borderId="2" xfId="0" applyFill="1"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applyAlignment="1"/>
    <xf numFmtId="0" fontId="8" fillId="0" borderId="23" xfId="0" applyFont="1" applyBorder="1" applyAlignment="1"/>
    <xf numFmtId="9" fontId="0" fillId="0" borderId="24" xfId="0" applyNumberFormat="1" applyBorder="1"/>
    <xf numFmtId="168" fontId="0" fillId="0" borderId="25" xfId="0" applyNumberFormat="1" applyBorder="1"/>
    <xf numFmtId="9" fontId="1" fillId="10" borderId="24" xfId="1" applyNumberFormat="1" applyFill="1" applyBorder="1"/>
    <xf numFmtId="9" fontId="1" fillId="10" borderId="26" xfId="1" applyNumberFormat="1" applyFill="1" applyBorder="1"/>
    <xf numFmtId="10" fontId="0" fillId="0" borderId="25" xfId="0" applyNumberFormat="1" applyBorder="1"/>
    <xf numFmtId="0" fontId="0" fillId="0" borderId="23" xfId="0" applyBorder="1" applyAlignment="1"/>
    <xf numFmtId="0" fontId="15" fillId="0" borderId="0" xfId="0" applyFont="1" applyFill="1" applyAlignment="1"/>
    <xf numFmtId="0" fontId="30" fillId="4" borderId="0" xfId="0" applyFont="1" applyFill="1" applyAlignment="1"/>
    <xf numFmtId="10" fontId="0" fillId="0" borderId="25" xfId="2" applyNumberFormat="1" applyFont="1" applyBorder="1"/>
    <xf numFmtId="10" fontId="0" fillId="0" borderId="27" xfId="2" applyNumberFormat="1" applyFont="1" applyBorder="1"/>
    <xf numFmtId="168" fontId="0" fillId="0" borderId="27" xfId="0" applyNumberFormat="1" applyBorder="1"/>
    <xf numFmtId="10" fontId="0" fillId="0" borderId="0" xfId="0" applyNumberFormat="1" applyBorder="1"/>
    <xf numFmtId="0" fontId="8" fillId="0" borderId="2" xfId="0" applyFont="1" applyBorder="1" applyAlignment="1"/>
    <xf numFmtId="0" fontId="22" fillId="0" borderId="0" xfId="0" applyFont="1" applyFill="1" applyBorder="1" applyAlignment="1"/>
    <xf numFmtId="0" fontId="0" fillId="0" borderId="24" xfId="0" applyBorder="1" applyAlignment="1"/>
    <xf numFmtId="0" fontId="0" fillId="0" borderId="25" xfId="0" applyBorder="1" applyAlignment="1"/>
    <xf numFmtId="9" fontId="0" fillId="10" borderId="24" xfId="0" applyNumberFormat="1" applyFill="1" applyBorder="1"/>
    <xf numFmtId="9" fontId="0" fillId="10" borderId="29" xfId="0" applyNumberFormat="1" applyFill="1" applyBorder="1"/>
    <xf numFmtId="168" fontId="0" fillId="0" borderId="5" xfId="0" applyNumberFormat="1" applyBorder="1"/>
    <xf numFmtId="10" fontId="0" fillId="0" borderId="30" xfId="2" applyNumberFormat="1" applyFont="1" applyBorder="1"/>
    <xf numFmtId="169" fontId="0" fillId="0" borderId="24" xfId="0" applyNumberFormat="1" applyBorder="1"/>
    <xf numFmtId="0" fontId="0" fillId="0" borderId="2" xfId="0" applyFill="1" applyBorder="1" applyAlignment="1">
      <alignment horizontal="right"/>
    </xf>
    <xf numFmtId="0" fontId="29" fillId="4" borderId="0" xfId="0" applyFont="1" applyFill="1" applyAlignment="1">
      <alignment horizontal="center" vertical="center"/>
    </xf>
    <xf numFmtId="0" fontId="24" fillId="9" borderId="14" xfId="0" applyFont="1" applyFill="1" applyBorder="1" applyAlignment="1">
      <alignment horizontal="center"/>
    </xf>
    <xf numFmtId="0" fontId="24" fillId="9" borderId="15" xfId="0" applyFont="1" applyFill="1" applyBorder="1" applyAlignment="1">
      <alignment horizontal="center"/>
    </xf>
    <xf numFmtId="0" fontId="24" fillId="9" borderId="16" xfId="0" applyFont="1" applyFill="1" applyBorder="1" applyAlignment="1">
      <alignment horizontal="center"/>
    </xf>
    <xf numFmtId="0" fontId="22" fillId="4" borderId="0" xfId="0" applyFont="1" applyFill="1" applyAlignment="1">
      <alignment horizontal="center"/>
    </xf>
    <xf numFmtId="0" fontId="0" fillId="3" borderId="2" xfId="0" applyFill="1" applyBorder="1" applyAlignment="1">
      <alignment horizontal="center" wrapText="1"/>
    </xf>
    <xf numFmtId="0" fontId="0" fillId="3" borderId="10" xfId="0" applyFill="1" applyBorder="1" applyAlignment="1">
      <alignment horizontal="center"/>
    </xf>
    <xf numFmtId="0" fontId="0" fillId="3" borderId="11" xfId="0" applyFill="1" applyBorder="1" applyAlignment="1">
      <alignment horizontal="center"/>
    </xf>
    <xf numFmtId="0" fontId="15" fillId="4" borderId="2" xfId="0" applyFont="1" applyFill="1" applyBorder="1" applyAlignment="1">
      <alignment horizontal="center"/>
    </xf>
    <xf numFmtId="0" fontId="0" fillId="3" borderId="5" xfId="0" applyFill="1" applyBorder="1" applyAlignment="1">
      <alignment horizontal="center" wrapText="1"/>
    </xf>
    <xf numFmtId="0" fontId="0" fillId="3" borderId="6" xfId="0" applyFill="1" applyBorder="1" applyAlignment="1">
      <alignment horizontal="center" wrapText="1"/>
    </xf>
    <xf numFmtId="0" fontId="8" fillId="3" borderId="5" xfId="0" applyFont="1" applyFill="1" applyBorder="1" applyAlignment="1">
      <alignment horizontal="right"/>
    </xf>
    <xf numFmtId="0" fontId="0" fillId="3" borderId="6" xfId="0" applyFill="1" applyBorder="1" applyAlignment="1">
      <alignment horizontal="right"/>
    </xf>
    <xf numFmtId="0" fontId="0" fillId="3" borderId="7" xfId="0" applyFill="1" applyBorder="1" applyAlignment="1">
      <alignment horizontal="right"/>
    </xf>
    <xf numFmtId="0" fontId="22" fillId="4" borderId="14" xfId="0" applyFont="1" applyFill="1" applyBorder="1" applyAlignment="1">
      <alignment horizontal="center"/>
    </xf>
    <xf numFmtId="0" fontId="22" fillId="4" borderId="15" xfId="0" applyFont="1" applyFill="1" applyBorder="1" applyAlignment="1">
      <alignment horizontal="center"/>
    </xf>
    <xf numFmtId="0" fontId="22" fillId="4" borderId="16" xfId="0" applyFont="1" applyFill="1" applyBorder="1" applyAlignment="1">
      <alignment horizontal="center"/>
    </xf>
    <xf numFmtId="0" fontId="0" fillId="3" borderId="2" xfId="0" applyFill="1" applyBorder="1" applyAlignment="1">
      <alignment horizontal="center"/>
    </xf>
    <xf numFmtId="0" fontId="0" fillId="3" borderId="5" xfId="0" applyFill="1" applyBorder="1" applyAlignment="1">
      <alignment horizontal="right"/>
    </xf>
    <xf numFmtId="0" fontId="0" fillId="3" borderId="2" xfId="0" applyFill="1" applyBorder="1"/>
    <xf numFmtId="0" fontId="0" fillId="3" borderId="5" xfId="0" applyFill="1" applyBorder="1" applyAlignment="1">
      <alignment horizontal="right" wrapText="1"/>
    </xf>
    <xf numFmtId="0" fontId="0" fillId="3" borderId="6" xfId="0" applyFill="1" applyBorder="1" applyAlignment="1">
      <alignment horizontal="right" wrapText="1"/>
    </xf>
    <xf numFmtId="0" fontId="0" fillId="3" borderId="7" xfId="0" applyFill="1" applyBorder="1" applyAlignment="1">
      <alignment horizontal="right" wrapText="1"/>
    </xf>
    <xf numFmtId="0" fontId="6" fillId="3" borderId="5" xfId="0" applyFont="1" applyFill="1" applyBorder="1" applyAlignment="1">
      <alignment horizontal="right" wrapText="1"/>
    </xf>
    <xf numFmtId="0" fontId="27" fillId="3" borderId="5" xfId="0" applyFont="1" applyFill="1" applyBorder="1" applyAlignment="1">
      <alignment horizontal="right"/>
    </xf>
    <xf numFmtId="0" fontId="14" fillId="3" borderId="2" xfId="0" applyFont="1" applyFill="1" applyBorder="1" applyAlignment="1">
      <alignment horizontal="center"/>
    </xf>
    <xf numFmtId="0" fontId="6" fillId="3" borderId="2" xfId="0" applyFont="1" applyFill="1" applyBorder="1" applyAlignment="1">
      <alignment horizontal="center"/>
    </xf>
    <xf numFmtId="0" fontId="26" fillId="0" borderId="13" xfId="0" applyFont="1" applyBorder="1" applyAlignment="1">
      <alignment horizontal="center"/>
    </xf>
    <xf numFmtId="0" fontId="25" fillId="0" borderId="12" xfId="3" applyFont="1" applyAlignment="1">
      <alignment horizontal="center"/>
    </xf>
    <xf numFmtId="0" fontId="22" fillId="4" borderId="20" xfId="0" applyFont="1" applyFill="1" applyBorder="1" applyAlignment="1">
      <alignment horizontal="center"/>
    </xf>
    <xf numFmtId="0" fontId="22" fillId="4" borderId="22" xfId="0" applyFont="1" applyFill="1" applyBorder="1" applyAlignment="1">
      <alignment horizontal="center"/>
    </xf>
    <xf numFmtId="0" fontId="22" fillId="4" borderId="28" xfId="0" applyFont="1" applyFill="1" applyBorder="1" applyAlignment="1">
      <alignment horizontal="center"/>
    </xf>
    <xf numFmtId="0" fontId="22" fillId="4" borderId="23" xfId="0" applyFont="1" applyFill="1" applyBorder="1" applyAlignment="1">
      <alignment horizontal="center"/>
    </xf>
    <xf numFmtId="0" fontId="24" fillId="6" borderId="2" xfId="0" applyFont="1" applyFill="1" applyBorder="1" applyAlignment="1">
      <alignment horizontal="center"/>
    </xf>
    <xf numFmtId="0" fontId="0" fillId="3" borderId="5" xfId="0" applyFont="1" applyFill="1" applyBorder="1" applyAlignment="1">
      <alignment horizontal="right"/>
    </xf>
    <xf numFmtId="0" fontId="0" fillId="3" borderId="6" xfId="0" applyFont="1" applyFill="1" applyBorder="1" applyAlignment="1">
      <alignment horizontal="right"/>
    </xf>
    <xf numFmtId="0" fontId="0" fillId="3" borderId="7" xfId="0" applyFont="1" applyFill="1" applyBorder="1" applyAlignment="1">
      <alignment horizontal="right"/>
    </xf>
    <xf numFmtId="0" fontId="0" fillId="3" borderId="5" xfId="0" applyFont="1" applyFill="1" applyBorder="1" applyAlignment="1">
      <alignment horizontal="right" wrapText="1"/>
    </xf>
    <xf numFmtId="0" fontId="0" fillId="3" borderId="6" xfId="0" applyFont="1" applyFill="1" applyBorder="1" applyAlignment="1">
      <alignment horizontal="right" wrapText="1"/>
    </xf>
    <xf numFmtId="0" fontId="0" fillId="3" borderId="7" xfId="0" applyFont="1" applyFill="1" applyBorder="1" applyAlignment="1">
      <alignment horizontal="right" wrapText="1"/>
    </xf>
    <xf numFmtId="0" fontId="0" fillId="3" borderId="2" xfId="0" applyFont="1" applyFill="1" applyBorder="1" applyAlignment="1"/>
  </cellXfs>
  <cellStyles count="4">
    <cellStyle name="Heading 1" xfId="3" builtinId="16"/>
    <cellStyle name="Input" xfId="1" builtinId="20"/>
    <cellStyle name="Normal" xfId="0" builtinId="0"/>
    <cellStyle name="Percent" xfId="2" builtinId="5"/>
  </cellStyles>
  <dxfs count="5">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A</a:t>
            </a:r>
            <a:r>
              <a:rPr lang="zh-CN" altLang="en-US" sz="2000" b="1"/>
              <a:t> </a:t>
            </a:r>
            <a:r>
              <a:rPr lang="en-US" altLang="zh-CN" sz="2000" b="1"/>
              <a:t>vs</a:t>
            </a:r>
            <a:r>
              <a:rPr lang="zh-CN" altLang="en-US" sz="2000" b="1"/>
              <a:t> </a:t>
            </a:r>
            <a:r>
              <a:rPr lang="en-US" altLang="zh-CN" sz="2000" b="1"/>
              <a:t>D/A</a:t>
            </a:r>
          </a:p>
          <a:p>
            <a:pPr>
              <a:defRPr/>
            </a:pPr>
            <a:r>
              <a:rPr lang="en-US" altLang="zh-CN" b="1"/>
              <a:t>Debt</a:t>
            </a:r>
            <a:r>
              <a:rPr lang="zh-CN" altLang="en-US" b="1"/>
              <a:t> </a:t>
            </a:r>
            <a:r>
              <a:rPr lang="en-US" altLang="zh-CN" b="1"/>
              <a:t>Schedule  </a:t>
            </a:r>
            <a:r>
              <a:rPr lang="en-US" b="1"/>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Model!$BA$9:$BA$24</c:f>
              <c:strCache>
                <c:ptCount val="16"/>
                <c:pt idx="0">
                  <c:v>Round(A)</c:v>
                </c:pt>
                <c:pt idx="1">
                  <c:v>$130.00</c:v>
                </c:pt>
                <c:pt idx="2">
                  <c:v>$132.32</c:v>
                </c:pt>
                <c:pt idx="3">
                  <c:v>$134.72</c:v>
                </c:pt>
                <c:pt idx="4">
                  <c:v>$135.35</c:v>
                </c:pt>
                <c:pt idx="5">
                  <c:v>$134.61</c:v>
                </c:pt>
                <c:pt idx="6">
                  <c:v>$133.44</c:v>
                </c:pt>
                <c:pt idx="7">
                  <c:v>$133.16</c:v>
                </c:pt>
                <c:pt idx="8">
                  <c:v>$125.00</c:v>
                </c:pt>
                <c:pt idx="9">
                  <c:v>$126.34</c:v>
                </c:pt>
                <c:pt idx="10">
                  <c:v>$115.20</c:v>
                </c:pt>
                <c:pt idx="11">
                  <c:v>$111.78</c:v>
                </c:pt>
                <c:pt idx="12">
                  <c:v>$100.89</c:v>
                </c:pt>
                <c:pt idx="13">
                  <c:v>$96.37</c:v>
                </c:pt>
                <c:pt idx="14">
                  <c:v>$86.64</c:v>
                </c:pt>
                <c:pt idx="15">
                  <c:v>$81.92</c:v>
                </c:pt>
              </c:strCache>
            </c:strRef>
          </c:tx>
          <c:spPr>
            <a:ln w="28575" cap="rnd">
              <a:noFill/>
              <a:round/>
            </a:ln>
            <a:effectLst/>
          </c:spPr>
          <c:marker>
            <c:symbol val="diamond"/>
            <c:size val="7"/>
            <c:spPr>
              <a:solidFill>
                <a:schemeClr val="accent1"/>
              </a:solidFill>
              <a:ln w="9525">
                <a:solidFill>
                  <a:schemeClr val="accent1"/>
                </a:solidFill>
              </a:ln>
              <a:effectLst/>
            </c:spPr>
          </c:marker>
          <c:xVal>
            <c:numRef>
              <c:f>Model!$D$10:$D$24</c:f>
              <c:numCache>
                <c:formatCode>0%</c:formatCode>
                <c:ptCount val="15"/>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numCache>
            </c:numRef>
          </c:xVal>
          <c:yVal>
            <c:numRef>
              <c:f>Model!$BA$10:$BA$24</c:f>
              <c:numCache>
                <c:formatCode>[$$-409]#,##0.00</c:formatCode>
                <c:ptCount val="15"/>
                <c:pt idx="0">
                  <c:v>130</c:v>
                </c:pt>
                <c:pt idx="1">
                  <c:v>132.32</c:v>
                </c:pt>
                <c:pt idx="2">
                  <c:v>134.72</c:v>
                </c:pt>
                <c:pt idx="3">
                  <c:v>135.35</c:v>
                </c:pt>
                <c:pt idx="4">
                  <c:v>134.61000000000001</c:v>
                </c:pt>
                <c:pt idx="5">
                  <c:v>133.44</c:v>
                </c:pt>
                <c:pt idx="6">
                  <c:v>133.16</c:v>
                </c:pt>
                <c:pt idx="7">
                  <c:v>125</c:v>
                </c:pt>
                <c:pt idx="8">
                  <c:v>126.34</c:v>
                </c:pt>
                <c:pt idx="9">
                  <c:v>115.2</c:v>
                </c:pt>
                <c:pt idx="10">
                  <c:v>111.78</c:v>
                </c:pt>
                <c:pt idx="11">
                  <c:v>100.89</c:v>
                </c:pt>
                <c:pt idx="12">
                  <c:v>96.37</c:v>
                </c:pt>
                <c:pt idx="13">
                  <c:v>86.64</c:v>
                </c:pt>
                <c:pt idx="14">
                  <c:v>81.92</c:v>
                </c:pt>
              </c:numCache>
            </c:numRef>
          </c:yVal>
          <c:smooth val="0"/>
          <c:extLst>
            <c:ext xmlns:c16="http://schemas.microsoft.com/office/drawing/2014/chart" uri="{C3380CC4-5D6E-409C-BE32-E72D297353CC}">
              <c16:uniqueId val="{00000000-F435-AE45-A374-21FF14A4144D}"/>
            </c:ext>
          </c:extLst>
        </c:ser>
        <c:ser>
          <c:idx val="1"/>
          <c:order val="1"/>
          <c:spPr>
            <a:ln w="25400" cap="rnd">
              <a:solidFill>
                <a:schemeClr val="tx1"/>
              </a:solidFill>
              <a:prstDash val="dash"/>
              <a:round/>
            </a:ln>
            <a:effectLst/>
          </c:spPr>
          <c:marker>
            <c:symbol val="circle"/>
            <c:size val="3"/>
            <c:spPr>
              <a:solidFill>
                <a:schemeClr val="tx1"/>
              </a:solidFill>
              <a:ln w="9525">
                <a:noFill/>
              </a:ln>
              <a:effectLst/>
            </c:spPr>
          </c:marker>
          <c:xVal>
            <c:numRef>
              <c:f>Model!$BA$27:$BA$29</c:f>
              <c:numCache>
                <c:formatCode>0%</c:formatCode>
                <c:ptCount val="3"/>
                <c:pt idx="0" formatCode="General">
                  <c:v>0</c:v>
                </c:pt>
                <c:pt idx="1">
                  <c:v>0.15</c:v>
                </c:pt>
                <c:pt idx="2">
                  <c:v>0.15</c:v>
                </c:pt>
              </c:numCache>
            </c:numRef>
          </c:xVal>
          <c:yVal>
            <c:numRef>
              <c:f>Model!$BB$27:$BB$29</c:f>
              <c:numCache>
                <c:formatCode>[$$-409]#,##0.00</c:formatCode>
                <c:ptCount val="3"/>
                <c:pt idx="0">
                  <c:v>135.35</c:v>
                </c:pt>
                <c:pt idx="1">
                  <c:v>135.35</c:v>
                </c:pt>
                <c:pt idx="2" formatCode="General">
                  <c:v>0</c:v>
                </c:pt>
              </c:numCache>
            </c:numRef>
          </c:yVal>
          <c:smooth val="0"/>
          <c:extLst>
            <c:ext xmlns:c16="http://schemas.microsoft.com/office/drawing/2014/chart" uri="{C3380CC4-5D6E-409C-BE32-E72D297353CC}">
              <c16:uniqueId val="{00000002-F435-AE45-A374-21FF14A4144D}"/>
            </c:ext>
          </c:extLst>
        </c:ser>
        <c:dLbls>
          <c:showLegendKey val="0"/>
          <c:showVal val="0"/>
          <c:showCatName val="0"/>
          <c:showSerName val="0"/>
          <c:showPercent val="0"/>
          <c:showBubbleSize val="0"/>
        </c:dLbls>
        <c:axId val="805830848"/>
        <c:axId val="939980816"/>
      </c:scatterChart>
      <c:valAx>
        <c:axId val="805830848"/>
        <c:scaling>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sz="1200" b="1"/>
                  <a:t>D/A</a:t>
                </a:r>
                <a:endParaRPr lang="en-US"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9980816"/>
        <c:crosses val="autoZero"/>
        <c:crossBetween val="midCat"/>
      </c:valAx>
      <c:valAx>
        <c:axId val="939980816"/>
        <c:scaling>
          <c:orientation val="minMax"/>
        </c:scaling>
        <c:delete val="0"/>
        <c:axPos val="l"/>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A</a:t>
                </a:r>
              </a:p>
            </c:rich>
          </c:tx>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83084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cap="none" baseline="0">
                <a:latin typeface="+mn-lt"/>
              </a:rPr>
              <a:t> </a:t>
            </a:r>
            <a:r>
              <a:rPr lang="en-CA" cap="none" baseline="0">
                <a:latin typeface="Symbol" panose="05050102010706020507" pitchFamily="18" charset="2"/>
              </a:rPr>
              <a:t>b</a:t>
            </a:r>
            <a:r>
              <a:rPr lang="en-CA" cap="none" baseline="-25000">
                <a:latin typeface="+mn-lt"/>
              </a:rPr>
              <a:t>D</a:t>
            </a:r>
            <a:r>
              <a:rPr lang="en-CA" cap="none" baseline="0">
                <a:latin typeface="+mn-lt"/>
              </a:rPr>
              <a:t> vs D/A</a:t>
            </a:r>
          </a:p>
          <a:p>
            <a:pPr>
              <a:defRPr/>
            </a:pPr>
            <a:r>
              <a:rPr lang="en-CA" sz="1100" cap="none" baseline="0">
                <a:latin typeface="+mn-lt"/>
              </a:rPr>
              <a:t>Debt Schedule</a:t>
            </a:r>
          </a:p>
        </c:rich>
      </c:tx>
      <c:layout>
        <c:manualLayout>
          <c:xMode val="edge"/>
          <c:yMode val="edge"/>
          <c:x val="0.3535103648035019"/>
          <c:y val="2.4278089640708784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diamond"/>
            <c:size val="6"/>
            <c:spPr>
              <a:solidFill>
                <a:schemeClr val="dk1">
                  <a:tint val="88500"/>
                </a:schemeClr>
              </a:solidFill>
              <a:ln w="9525">
                <a:solidFill>
                  <a:schemeClr val="dk1">
                    <a:tint val="88500"/>
                  </a:schemeClr>
                </a:solidFill>
                <a:round/>
              </a:ln>
              <a:effectLst/>
            </c:spPr>
          </c:marker>
          <c:xVal>
            <c:numRef>
              <c:f>Model!$D$10:$D$24</c:f>
              <c:numCache>
                <c:formatCode>0%</c:formatCode>
                <c:ptCount val="15"/>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numCache>
            </c:numRef>
          </c:xVal>
          <c:yVal>
            <c:numRef>
              <c:f>Model!$E$10:$E$24</c:f>
              <c:numCache>
                <c:formatCode>0.000</c:formatCode>
                <c:ptCount val="15"/>
                <c:pt idx="0">
                  <c:v>0</c:v>
                </c:pt>
                <c:pt idx="1">
                  <c:v>0</c:v>
                </c:pt>
                <c:pt idx="2">
                  <c:v>0.03</c:v>
                </c:pt>
                <c:pt idx="3">
                  <c:v>6.5000000000000002E-2</c:v>
                </c:pt>
                <c:pt idx="4">
                  <c:v>8.4999999999999992E-2</c:v>
                </c:pt>
                <c:pt idx="5">
                  <c:v>0.16999999999999998</c:v>
                </c:pt>
                <c:pt idx="6">
                  <c:v>0.18000000000000002</c:v>
                </c:pt>
                <c:pt idx="7">
                  <c:v>0.28000000000000003</c:v>
                </c:pt>
                <c:pt idx="8">
                  <c:v>0.30000000000000004</c:v>
                </c:pt>
                <c:pt idx="9">
                  <c:v>0.43999999999999995</c:v>
                </c:pt>
                <c:pt idx="10">
                  <c:v>0.47</c:v>
                </c:pt>
                <c:pt idx="11">
                  <c:v>0.63</c:v>
                </c:pt>
                <c:pt idx="12">
                  <c:v>0.67999999999999994</c:v>
                </c:pt>
                <c:pt idx="13">
                  <c:v>0.86</c:v>
                </c:pt>
                <c:pt idx="14">
                  <c:v>0.92999999999999994</c:v>
                </c:pt>
              </c:numCache>
            </c:numRef>
          </c:yVal>
          <c:smooth val="0"/>
          <c:extLst>
            <c:ext xmlns:c16="http://schemas.microsoft.com/office/drawing/2014/chart" uri="{C3380CC4-5D6E-409C-BE32-E72D297353CC}">
              <c16:uniqueId val="{00000000-538A-4DC4-A7B6-FD486CAFC0A7}"/>
            </c:ext>
          </c:extLst>
        </c:ser>
        <c:dLbls>
          <c:showLegendKey val="0"/>
          <c:showVal val="0"/>
          <c:showCatName val="0"/>
          <c:showSerName val="0"/>
          <c:showPercent val="0"/>
          <c:showBubbleSize val="0"/>
        </c:dLbls>
        <c:axId val="268522287"/>
        <c:axId val="268528527"/>
      </c:scatterChart>
      <c:valAx>
        <c:axId val="268522287"/>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268528527"/>
        <c:crosses val="autoZero"/>
        <c:crossBetween val="midCat"/>
      </c:valAx>
      <c:valAx>
        <c:axId val="268528527"/>
        <c:scaling>
          <c:orientation val="minMax"/>
        </c:scaling>
        <c:delete val="0"/>
        <c:axPos val="l"/>
        <c:numFmt formatCode="0.0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5222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cap="none" baseline="0"/>
              <a:t>F/A vs D/A</a:t>
            </a:r>
          </a:p>
          <a:p>
            <a:pPr>
              <a:defRPr/>
            </a:pPr>
            <a:r>
              <a:rPr lang="en-CA" sz="1100" cap="none" baseline="0"/>
              <a:t>Debt Schedule</a:t>
            </a:r>
          </a:p>
        </c:rich>
      </c:tx>
      <c:layout>
        <c:manualLayout>
          <c:xMode val="edge"/>
          <c:yMode val="edge"/>
          <c:x val="0.37150074062524363"/>
          <c:y val="0.04"/>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diamond"/>
            <c:size val="6"/>
            <c:spPr>
              <a:solidFill>
                <a:schemeClr val="dk1">
                  <a:tint val="88500"/>
                </a:schemeClr>
              </a:solidFill>
              <a:ln w="9525">
                <a:solidFill>
                  <a:schemeClr val="dk1">
                    <a:tint val="88500"/>
                  </a:schemeClr>
                </a:solidFill>
                <a:round/>
              </a:ln>
              <a:effectLst/>
            </c:spPr>
          </c:marker>
          <c:xVal>
            <c:numRef>
              <c:f>Model!$D$10:$D$24</c:f>
              <c:numCache>
                <c:formatCode>0%</c:formatCode>
                <c:ptCount val="15"/>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numCache>
            </c:numRef>
          </c:xVal>
          <c:yVal>
            <c:numRef>
              <c:f>Model!$F$10:$F$24</c:f>
              <c:numCache>
                <c:formatCode>0.00%</c:formatCode>
                <c:ptCount val="15"/>
                <c:pt idx="0">
                  <c:v>0</c:v>
                </c:pt>
                <c:pt idx="1">
                  <c:v>0</c:v>
                </c:pt>
                <c:pt idx="2">
                  <c:v>0</c:v>
                </c:pt>
                <c:pt idx="3">
                  <c:v>2E-3</c:v>
                </c:pt>
                <c:pt idx="4">
                  <c:v>5.4999999999999997E-3</c:v>
                </c:pt>
                <c:pt idx="5">
                  <c:v>9.4999999999999998E-3</c:v>
                </c:pt>
                <c:pt idx="6">
                  <c:v>1.2500000000000001E-2</c:v>
                </c:pt>
                <c:pt idx="7">
                  <c:v>2.4999999999999998E-2</c:v>
                </c:pt>
                <c:pt idx="8">
                  <c:v>2.6000000000000002E-2</c:v>
                </c:pt>
                <c:pt idx="9">
                  <c:v>4.3999999999999997E-2</c:v>
                </c:pt>
                <c:pt idx="10">
                  <c:v>5.2000000000000005E-2</c:v>
                </c:pt>
                <c:pt idx="11">
                  <c:v>7.3999999999999996E-2</c:v>
                </c:pt>
                <c:pt idx="12">
                  <c:v>8.5999999999999993E-2</c:v>
                </c:pt>
                <c:pt idx="13">
                  <c:v>0.112</c:v>
                </c:pt>
                <c:pt idx="14">
                  <c:v>0.128</c:v>
                </c:pt>
              </c:numCache>
            </c:numRef>
          </c:yVal>
          <c:smooth val="0"/>
          <c:extLst>
            <c:ext xmlns:c16="http://schemas.microsoft.com/office/drawing/2014/chart" uri="{C3380CC4-5D6E-409C-BE32-E72D297353CC}">
              <c16:uniqueId val="{00000000-4707-4531-A419-2F46370334B6}"/>
            </c:ext>
          </c:extLst>
        </c:ser>
        <c:dLbls>
          <c:showLegendKey val="0"/>
          <c:showVal val="0"/>
          <c:showCatName val="0"/>
          <c:showSerName val="0"/>
          <c:showPercent val="0"/>
          <c:showBubbleSize val="0"/>
        </c:dLbls>
        <c:axId val="268422031"/>
        <c:axId val="268425775"/>
      </c:scatterChart>
      <c:valAx>
        <c:axId val="268422031"/>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268425775"/>
        <c:crosses val="autoZero"/>
        <c:crossBetween val="midCat"/>
      </c:valAx>
      <c:valAx>
        <c:axId val="268425775"/>
        <c:scaling>
          <c:orientation val="minMax"/>
        </c:scaling>
        <c:delete val="0"/>
        <c:axPos val="l"/>
        <c:numFmt formatCode="0.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4220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l-GR" cap="none" baseline="0"/>
              <a:t>β</a:t>
            </a:r>
            <a:r>
              <a:rPr lang="en-US" cap="none" baseline="-25000"/>
              <a:t>D</a:t>
            </a:r>
            <a:r>
              <a:rPr lang="en-CA" cap="none" baseline="0"/>
              <a:t> vs D/A</a:t>
            </a:r>
          </a:p>
          <a:p>
            <a:pPr>
              <a:defRPr/>
            </a:pPr>
            <a:r>
              <a:rPr lang="en-CA" sz="1100" cap="none" baseline="0"/>
              <a:t>Stepwise</a:t>
            </a:r>
            <a:endParaRPr lang="en-US" sz="1100" cap="none" baseline="0"/>
          </a:p>
        </c:rich>
      </c:tx>
      <c:layout>
        <c:manualLayout>
          <c:xMode val="edge"/>
          <c:yMode val="edge"/>
          <c:x val="0.3669793182994327"/>
          <c:y val="3.3766350634742079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solidFill>
                <a:srgbClr val="C00000"/>
              </a:solidFill>
              <a:round/>
            </a:ln>
            <a:effectLst/>
          </c:spPr>
          <c:marker>
            <c:symbol val="diamond"/>
            <c:size val="6"/>
            <c:spPr>
              <a:solidFill>
                <a:srgbClr val="C00000"/>
              </a:solidFill>
              <a:ln w="9525">
                <a:solidFill>
                  <a:schemeClr val="accent1"/>
                </a:solidFill>
                <a:round/>
              </a:ln>
              <a:effectLst/>
            </c:spPr>
          </c:marker>
          <c:xVal>
            <c:numRef>
              <c:f>Model!$CI$5:$CI$33</c:f>
              <c:numCache>
                <c:formatCode>0%</c:formatCode>
                <c:ptCount val="29"/>
                <c:pt idx="0">
                  <c:v>0</c:v>
                </c:pt>
                <c:pt idx="1">
                  <c:v>0.05</c:v>
                </c:pt>
                <c:pt idx="2">
                  <c:v>0.05</c:v>
                </c:pt>
                <c:pt idx="3">
                  <c:v>0.1</c:v>
                </c:pt>
                <c:pt idx="4">
                  <c:v>0.1</c:v>
                </c:pt>
                <c:pt idx="5">
                  <c:v>0.15</c:v>
                </c:pt>
                <c:pt idx="6">
                  <c:v>0.15</c:v>
                </c:pt>
                <c:pt idx="7">
                  <c:v>0.2</c:v>
                </c:pt>
                <c:pt idx="8">
                  <c:v>0.2</c:v>
                </c:pt>
                <c:pt idx="9">
                  <c:v>0.25</c:v>
                </c:pt>
                <c:pt idx="10">
                  <c:v>0.25</c:v>
                </c:pt>
                <c:pt idx="11">
                  <c:v>0.3</c:v>
                </c:pt>
                <c:pt idx="12">
                  <c:v>0.3</c:v>
                </c:pt>
                <c:pt idx="13">
                  <c:v>0.35</c:v>
                </c:pt>
                <c:pt idx="14">
                  <c:v>0.35</c:v>
                </c:pt>
                <c:pt idx="15">
                  <c:v>0.4</c:v>
                </c:pt>
                <c:pt idx="16">
                  <c:v>0.4</c:v>
                </c:pt>
                <c:pt idx="17">
                  <c:v>0.45</c:v>
                </c:pt>
                <c:pt idx="18">
                  <c:v>0.45</c:v>
                </c:pt>
                <c:pt idx="19">
                  <c:v>0.5</c:v>
                </c:pt>
                <c:pt idx="20">
                  <c:v>0.5</c:v>
                </c:pt>
                <c:pt idx="21">
                  <c:v>0.55000000000000004</c:v>
                </c:pt>
                <c:pt idx="22">
                  <c:v>0.55000000000000004</c:v>
                </c:pt>
                <c:pt idx="23">
                  <c:v>0.6</c:v>
                </c:pt>
                <c:pt idx="24">
                  <c:v>0.6</c:v>
                </c:pt>
                <c:pt idx="25">
                  <c:v>0.65</c:v>
                </c:pt>
                <c:pt idx="26">
                  <c:v>0.65</c:v>
                </c:pt>
                <c:pt idx="27">
                  <c:v>0.7</c:v>
                </c:pt>
                <c:pt idx="28">
                  <c:v>0.7</c:v>
                </c:pt>
              </c:numCache>
            </c:numRef>
          </c:xVal>
          <c:yVal>
            <c:numRef>
              <c:f>Model!$CJ$5:$CJ$33</c:f>
              <c:numCache>
                <c:formatCode>0.0000</c:formatCode>
                <c:ptCount val="29"/>
                <c:pt idx="0">
                  <c:v>0</c:v>
                </c:pt>
                <c:pt idx="1">
                  <c:v>0</c:v>
                </c:pt>
                <c:pt idx="2">
                  <c:v>0</c:v>
                </c:pt>
                <c:pt idx="3">
                  <c:v>0</c:v>
                </c:pt>
                <c:pt idx="4">
                  <c:v>0.03</c:v>
                </c:pt>
                <c:pt idx="5">
                  <c:v>0.03</c:v>
                </c:pt>
                <c:pt idx="6">
                  <c:v>6.5000000000000002E-2</c:v>
                </c:pt>
                <c:pt idx="7">
                  <c:v>6.5000000000000002E-2</c:v>
                </c:pt>
                <c:pt idx="8">
                  <c:v>8.4999999999999992E-2</c:v>
                </c:pt>
                <c:pt idx="9">
                  <c:v>8.4999999999999992E-2</c:v>
                </c:pt>
                <c:pt idx="10">
                  <c:v>0.16999999999999998</c:v>
                </c:pt>
                <c:pt idx="11">
                  <c:v>0.16999999999999998</c:v>
                </c:pt>
                <c:pt idx="12">
                  <c:v>0.18000000000000002</c:v>
                </c:pt>
                <c:pt idx="13">
                  <c:v>0.18000000000000002</c:v>
                </c:pt>
                <c:pt idx="14">
                  <c:v>0.28000000000000003</c:v>
                </c:pt>
                <c:pt idx="15">
                  <c:v>0.28000000000000003</c:v>
                </c:pt>
                <c:pt idx="16">
                  <c:v>0.30000000000000004</c:v>
                </c:pt>
                <c:pt idx="17">
                  <c:v>0.30000000000000004</c:v>
                </c:pt>
                <c:pt idx="18">
                  <c:v>0.43999999999999995</c:v>
                </c:pt>
                <c:pt idx="19">
                  <c:v>0.43999999999999995</c:v>
                </c:pt>
                <c:pt idx="20">
                  <c:v>0.47</c:v>
                </c:pt>
                <c:pt idx="21">
                  <c:v>0.47</c:v>
                </c:pt>
                <c:pt idx="22">
                  <c:v>0.63</c:v>
                </c:pt>
                <c:pt idx="23">
                  <c:v>0.63</c:v>
                </c:pt>
                <c:pt idx="24">
                  <c:v>0.67999999999999994</c:v>
                </c:pt>
                <c:pt idx="25">
                  <c:v>0.67999999999999994</c:v>
                </c:pt>
                <c:pt idx="26">
                  <c:v>0.86</c:v>
                </c:pt>
                <c:pt idx="27">
                  <c:v>0.86</c:v>
                </c:pt>
                <c:pt idx="28">
                  <c:v>0.92999999999999994</c:v>
                </c:pt>
              </c:numCache>
            </c:numRef>
          </c:yVal>
          <c:smooth val="0"/>
          <c:extLst>
            <c:ext xmlns:c16="http://schemas.microsoft.com/office/drawing/2014/chart" uri="{C3380CC4-5D6E-409C-BE32-E72D297353CC}">
              <c16:uniqueId val="{00000002-F07D-7B4E-B3BB-E3F9602137E5}"/>
            </c:ext>
          </c:extLst>
        </c:ser>
        <c:dLbls>
          <c:showLegendKey val="0"/>
          <c:showVal val="0"/>
          <c:showCatName val="0"/>
          <c:showSerName val="0"/>
          <c:showPercent val="0"/>
          <c:showBubbleSize val="0"/>
        </c:dLbls>
        <c:axId val="268434927"/>
        <c:axId val="268451567"/>
      </c:scatterChart>
      <c:valAx>
        <c:axId val="268434927"/>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268451567"/>
        <c:crosses val="autoZero"/>
        <c:crossBetween val="midCat"/>
      </c:valAx>
      <c:valAx>
        <c:axId val="268451567"/>
        <c:scaling>
          <c:orientation val="minMax"/>
        </c:scaling>
        <c:delete val="0"/>
        <c:axPos val="l"/>
        <c:numFmt formatCode="0.00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4349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cap="none" baseline="0"/>
              <a:t>F/A vs D/A</a:t>
            </a:r>
          </a:p>
          <a:p>
            <a:pPr>
              <a:defRPr/>
            </a:pPr>
            <a:r>
              <a:rPr lang="en-CA" sz="1100" cap="none" baseline="0"/>
              <a:t>Stepwise</a:t>
            </a:r>
          </a:p>
        </c:rich>
      </c:tx>
      <c:layout>
        <c:manualLayout>
          <c:xMode val="edge"/>
          <c:yMode val="edge"/>
          <c:x val="0.32615973093480133"/>
          <c:y val="1.8518775603226775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solidFill>
                <a:srgbClr val="C00000"/>
              </a:solidFill>
              <a:round/>
            </a:ln>
            <a:effectLst/>
          </c:spPr>
          <c:marker>
            <c:symbol val="diamond"/>
            <c:size val="6"/>
            <c:spPr>
              <a:solidFill>
                <a:srgbClr val="C00000"/>
              </a:solidFill>
              <a:ln w="9525">
                <a:solidFill>
                  <a:schemeClr val="accent1"/>
                </a:solidFill>
                <a:round/>
              </a:ln>
              <a:effectLst/>
            </c:spPr>
          </c:marker>
          <c:dPt>
            <c:idx val="1"/>
            <c:marker>
              <c:symbol val="none"/>
            </c:marker>
            <c:bubble3D val="0"/>
            <c:extLst>
              <c:ext xmlns:c16="http://schemas.microsoft.com/office/drawing/2014/chart" uri="{C3380CC4-5D6E-409C-BE32-E72D297353CC}">
                <c16:uniqueId val="{0000000F-86CA-1143-A611-47967F9E7552}"/>
              </c:ext>
            </c:extLst>
          </c:dPt>
          <c:dPt>
            <c:idx val="3"/>
            <c:marker>
              <c:symbol val="none"/>
            </c:marker>
            <c:bubble3D val="0"/>
            <c:extLst>
              <c:ext xmlns:c16="http://schemas.microsoft.com/office/drawing/2014/chart" uri="{C3380CC4-5D6E-409C-BE32-E72D297353CC}">
                <c16:uniqueId val="{0000000E-86CA-1143-A611-47967F9E7552}"/>
              </c:ext>
            </c:extLst>
          </c:dPt>
          <c:dPt>
            <c:idx val="5"/>
            <c:marker>
              <c:symbol val="none"/>
            </c:marker>
            <c:bubble3D val="0"/>
            <c:extLst>
              <c:ext xmlns:c16="http://schemas.microsoft.com/office/drawing/2014/chart" uri="{C3380CC4-5D6E-409C-BE32-E72D297353CC}">
                <c16:uniqueId val="{0000000C-86CA-1143-A611-47967F9E7552}"/>
              </c:ext>
            </c:extLst>
          </c:dPt>
          <c:dPt>
            <c:idx val="7"/>
            <c:marker>
              <c:symbol val="none"/>
            </c:marker>
            <c:bubble3D val="0"/>
            <c:extLst>
              <c:ext xmlns:c16="http://schemas.microsoft.com/office/drawing/2014/chart" uri="{C3380CC4-5D6E-409C-BE32-E72D297353CC}">
                <c16:uniqueId val="{0000000B-86CA-1143-A611-47967F9E7552}"/>
              </c:ext>
            </c:extLst>
          </c:dPt>
          <c:dPt>
            <c:idx val="9"/>
            <c:marker>
              <c:symbol val="none"/>
            </c:marker>
            <c:bubble3D val="0"/>
            <c:extLst>
              <c:ext xmlns:c16="http://schemas.microsoft.com/office/drawing/2014/chart" uri="{C3380CC4-5D6E-409C-BE32-E72D297353CC}">
                <c16:uniqueId val="{0000000A-86CA-1143-A611-47967F9E7552}"/>
              </c:ext>
            </c:extLst>
          </c:dPt>
          <c:dPt>
            <c:idx val="11"/>
            <c:marker>
              <c:symbol val="none"/>
            </c:marker>
            <c:bubble3D val="0"/>
            <c:extLst>
              <c:ext xmlns:c16="http://schemas.microsoft.com/office/drawing/2014/chart" uri="{C3380CC4-5D6E-409C-BE32-E72D297353CC}">
                <c16:uniqueId val="{00000009-86CA-1143-A611-47967F9E7552}"/>
              </c:ext>
            </c:extLst>
          </c:dPt>
          <c:dPt>
            <c:idx val="13"/>
            <c:marker>
              <c:symbol val="none"/>
            </c:marker>
            <c:bubble3D val="0"/>
            <c:extLst>
              <c:ext xmlns:c16="http://schemas.microsoft.com/office/drawing/2014/chart" uri="{C3380CC4-5D6E-409C-BE32-E72D297353CC}">
                <c16:uniqueId val="{00000007-86CA-1143-A611-47967F9E7552}"/>
              </c:ext>
            </c:extLst>
          </c:dPt>
          <c:dPt>
            <c:idx val="15"/>
            <c:marker>
              <c:symbol val="none"/>
            </c:marker>
            <c:bubble3D val="0"/>
            <c:extLst>
              <c:ext xmlns:c16="http://schemas.microsoft.com/office/drawing/2014/chart" uri="{C3380CC4-5D6E-409C-BE32-E72D297353CC}">
                <c16:uniqueId val="{00000008-86CA-1143-A611-47967F9E7552}"/>
              </c:ext>
            </c:extLst>
          </c:dPt>
          <c:dPt>
            <c:idx val="17"/>
            <c:marker>
              <c:symbol val="none"/>
            </c:marker>
            <c:bubble3D val="0"/>
            <c:extLst>
              <c:ext xmlns:c16="http://schemas.microsoft.com/office/drawing/2014/chart" uri="{C3380CC4-5D6E-409C-BE32-E72D297353CC}">
                <c16:uniqueId val="{00000006-86CA-1143-A611-47967F9E7552}"/>
              </c:ext>
            </c:extLst>
          </c:dPt>
          <c:dPt>
            <c:idx val="19"/>
            <c:marker>
              <c:symbol val="none"/>
            </c:marker>
            <c:bubble3D val="0"/>
            <c:extLst>
              <c:ext xmlns:c16="http://schemas.microsoft.com/office/drawing/2014/chart" uri="{C3380CC4-5D6E-409C-BE32-E72D297353CC}">
                <c16:uniqueId val="{00000005-86CA-1143-A611-47967F9E7552}"/>
              </c:ext>
            </c:extLst>
          </c:dPt>
          <c:dPt>
            <c:idx val="21"/>
            <c:marker>
              <c:symbol val="none"/>
            </c:marker>
            <c:bubble3D val="0"/>
            <c:extLst>
              <c:ext xmlns:c16="http://schemas.microsoft.com/office/drawing/2014/chart" uri="{C3380CC4-5D6E-409C-BE32-E72D297353CC}">
                <c16:uniqueId val="{00000004-86CA-1143-A611-47967F9E7552}"/>
              </c:ext>
            </c:extLst>
          </c:dPt>
          <c:dPt>
            <c:idx val="23"/>
            <c:marker>
              <c:symbol val="none"/>
            </c:marker>
            <c:bubble3D val="0"/>
            <c:extLst>
              <c:ext xmlns:c16="http://schemas.microsoft.com/office/drawing/2014/chart" uri="{C3380CC4-5D6E-409C-BE32-E72D297353CC}">
                <c16:uniqueId val="{00000003-86CA-1143-A611-47967F9E7552}"/>
              </c:ext>
            </c:extLst>
          </c:dPt>
          <c:dPt>
            <c:idx val="25"/>
            <c:marker>
              <c:symbol val="none"/>
            </c:marker>
            <c:bubble3D val="0"/>
            <c:extLst>
              <c:ext xmlns:c16="http://schemas.microsoft.com/office/drawing/2014/chart" uri="{C3380CC4-5D6E-409C-BE32-E72D297353CC}">
                <c16:uniqueId val="{00000002-86CA-1143-A611-47967F9E7552}"/>
              </c:ext>
            </c:extLst>
          </c:dPt>
          <c:dPt>
            <c:idx val="27"/>
            <c:marker>
              <c:symbol val="none"/>
            </c:marker>
            <c:bubble3D val="0"/>
            <c:extLst>
              <c:ext xmlns:c16="http://schemas.microsoft.com/office/drawing/2014/chart" uri="{C3380CC4-5D6E-409C-BE32-E72D297353CC}">
                <c16:uniqueId val="{00000001-86CA-1143-A611-47967F9E7552}"/>
              </c:ext>
            </c:extLst>
          </c:dPt>
          <c:xVal>
            <c:numRef>
              <c:f>Model!$CI$5:$CI$33</c:f>
              <c:numCache>
                <c:formatCode>0%</c:formatCode>
                <c:ptCount val="29"/>
                <c:pt idx="0">
                  <c:v>0</c:v>
                </c:pt>
                <c:pt idx="1">
                  <c:v>0.05</c:v>
                </c:pt>
                <c:pt idx="2">
                  <c:v>0.05</c:v>
                </c:pt>
                <c:pt idx="3">
                  <c:v>0.1</c:v>
                </c:pt>
                <c:pt idx="4">
                  <c:v>0.1</c:v>
                </c:pt>
                <c:pt idx="5">
                  <c:v>0.15</c:v>
                </c:pt>
                <c:pt idx="6">
                  <c:v>0.15</c:v>
                </c:pt>
                <c:pt idx="7">
                  <c:v>0.2</c:v>
                </c:pt>
                <c:pt idx="8">
                  <c:v>0.2</c:v>
                </c:pt>
                <c:pt idx="9">
                  <c:v>0.25</c:v>
                </c:pt>
                <c:pt idx="10">
                  <c:v>0.25</c:v>
                </c:pt>
                <c:pt idx="11">
                  <c:v>0.3</c:v>
                </c:pt>
                <c:pt idx="12">
                  <c:v>0.3</c:v>
                </c:pt>
                <c:pt idx="13">
                  <c:v>0.35</c:v>
                </c:pt>
                <c:pt idx="14">
                  <c:v>0.35</c:v>
                </c:pt>
                <c:pt idx="15">
                  <c:v>0.4</c:v>
                </c:pt>
                <c:pt idx="16">
                  <c:v>0.4</c:v>
                </c:pt>
                <c:pt idx="17">
                  <c:v>0.45</c:v>
                </c:pt>
                <c:pt idx="18">
                  <c:v>0.45</c:v>
                </c:pt>
                <c:pt idx="19">
                  <c:v>0.5</c:v>
                </c:pt>
                <c:pt idx="20">
                  <c:v>0.5</c:v>
                </c:pt>
                <c:pt idx="21">
                  <c:v>0.55000000000000004</c:v>
                </c:pt>
                <c:pt idx="22">
                  <c:v>0.55000000000000004</c:v>
                </c:pt>
                <c:pt idx="23">
                  <c:v>0.6</c:v>
                </c:pt>
                <c:pt idx="24">
                  <c:v>0.6</c:v>
                </c:pt>
                <c:pt idx="25">
                  <c:v>0.65</c:v>
                </c:pt>
                <c:pt idx="26">
                  <c:v>0.65</c:v>
                </c:pt>
                <c:pt idx="27">
                  <c:v>0.7</c:v>
                </c:pt>
                <c:pt idx="28">
                  <c:v>0.7</c:v>
                </c:pt>
              </c:numCache>
            </c:numRef>
          </c:xVal>
          <c:yVal>
            <c:numRef>
              <c:f>Model!$CK$5:$CK$33</c:f>
              <c:numCache>
                <c:formatCode>0.00%</c:formatCode>
                <c:ptCount val="29"/>
                <c:pt idx="0">
                  <c:v>0</c:v>
                </c:pt>
                <c:pt idx="1">
                  <c:v>0</c:v>
                </c:pt>
                <c:pt idx="2">
                  <c:v>0</c:v>
                </c:pt>
                <c:pt idx="3">
                  <c:v>0</c:v>
                </c:pt>
                <c:pt idx="4">
                  <c:v>0</c:v>
                </c:pt>
                <c:pt idx="5">
                  <c:v>0</c:v>
                </c:pt>
                <c:pt idx="6">
                  <c:v>2E-3</c:v>
                </c:pt>
                <c:pt idx="7">
                  <c:v>2E-3</c:v>
                </c:pt>
                <c:pt idx="8">
                  <c:v>5.4999999999999997E-3</c:v>
                </c:pt>
                <c:pt idx="9">
                  <c:v>5.4999999999999997E-3</c:v>
                </c:pt>
                <c:pt idx="10">
                  <c:v>9.4999999999999998E-3</c:v>
                </c:pt>
                <c:pt idx="11">
                  <c:v>9.4999999999999998E-3</c:v>
                </c:pt>
                <c:pt idx="12">
                  <c:v>1.2500000000000001E-2</c:v>
                </c:pt>
                <c:pt idx="13">
                  <c:v>1.2500000000000001E-2</c:v>
                </c:pt>
                <c:pt idx="14">
                  <c:v>2.4999999999999998E-2</c:v>
                </c:pt>
                <c:pt idx="15">
                  <c:v>2.4999999999999998E-2</c:v>
                </c:pt>
                <c:pt idx="16">
                  <c:v>2.6000000000000002E-2</c:v>
                </c:pt>
                <c:pt idx="17">
                  <c:v>2.6000000000000002E-2</c:v>
                </c:pt>
                <c:pt idx="18">
                  <c:v>4.3999999999999997E-2</c:v>
                </c:pt>
                <c:pt idx="19">
                  <c:v>4.3999999999999997E-2</c:v>
                </c:pt>
                <c:pt idx="20">
                  <c:v>5.2000000000000005E-2</c:v>
                </c:pt>
                <c:pt idx="21">
                  <c:v>5.2000000000000005E-2</c:v>
                </c:pt>
                <c:pt idx="22">
                  <c:v>7.3999999999999996E-2</c:v>
                </c:pt>
                <c:pt idx="23">
                  <c:v>7.3999999999999996E-2</c:v>
                </c:pt>
                <c:pt idx="24">
                  <c:v>8.5999999999999993E-2</c:v>
                </c:pt>
                <c:pt idx="25">
                  <c:v>8.5999999999999993E-2</c:v>
                </c:pt>
                <c:pt idx="26">
                  <c:v>0.112</c:v>
                </c:pt>
                <c:pt idx="27">
                  <c:v>0.112</c:v>
                </c:pt>
                <c:pt idx="28">
                  <c:v>0.128</c:v>
                </c:pt>
              </c:numCache>
            </c:numRef>
          </c:yVal>
          <c:smooth val="0"/>
          <c:extLst>
            <c:ext xmlns:c16="http://schemas.microsoft.com/office/drawing/2014/chart" uri="{C3380CC4-5D6E-409C-BE32-E72D297353CC}">
              <c16:uniqueId val="{00000000-62AF-4C7B-B9FF-9B62306A7B9D}"/>
            </c:ext>
          </c:extLst>
        </c:ser>
        <c:dLbls>
          <c:showLegendKey val="0"/>
          <c:showVal val="0"/>
          <c:showCatName val="0"/>
          <c:showSerName val="0"/>
          <c:showPercent val="0"/>
          <c:showBubbleSize val="0"/>
        </c:dLbls>
        <c:axId val="268479023"/>
        <c:axId val="268489007"/>
      </c:scatterChart>
      <c:valAx>
        <c:axId val="268479023"/>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268489007"/>
        <c:crosses val="autoZero"/>
        <c:crossBetween val="midCat"/>
      </c:valAx>
      <c:valAx>
        <c:axId val="268489007"/>
        <c:scaling>
          <c:orientation val="minMax"/>
        </c:scaling>
        <c:delete val="0"/>
        <c:axPos val="l"/>
        <c:numFmt formatCode="0.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479023"/>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l-GR" cap="none" baseline="0"/>
              <a:t>β</a:t>
            </a:r>
            <a:r>
              <a:rPr lang="en-US" cap="none" baseline="-25000"/>
              <a:t>D</a:t>
            </a:r>
            <a:r>
              <a:rPr lang="en-CA" cap="none" baseline="0"/>
              <a:t> vs D/A</a:t>
            </a:r>
          </a:p>
          <a:p>
            <a:pPr>
              <a:defRPr sz="1600" b="1" i="0" u="none" strike="noStrike" kern="1200" cap="all" spc="120" normalizeH="0" baseline="0">
                <a:solidFill>
                  <a:schemeClr val="tx1">
                    <a:lumMod val="65000"/>
                    <a:lumOff val="35000"/>
                  </a:schemeClr>
                </a:solidFill>
                <a:latin typeface="+mn-lt"/>
                <a:ea typeface="+mn-ea"/>
                <a:cs typeface="+mn-cs"/>
              </a:defRPr>
            </a:pPr>
            <a:r>
              <a:rPr lang="en-CA" sz="1100" cap="none" baseline="0"/>
              <a:t>Piecewise Linear</a:t>
            </a:r>
            <a:endParaRPr lang="en-US" sz="1100" cap="none" baseline="0"/>
          </a:p>
        </c:rich>
      </c:tx>
      <c:layout>
        <c:manualLayout>
          <c:xMode val="edge"/>
          <c:yMode val="edge"/>
          <c:x val="0.36697916113001749"/>
          <c:y val="3.4293066052148734E-2"/>
        </c:manualLayout>
      </c:layout>
      <c:overlay val="0"/>
      <c:spPr>
        <a:noFill/>
        <a:ln>
          <a:noFill/>
        </a:ln>
        <a:effectLst/>
      </c:spPr>
    </c:title>
    <c:autoTitleDeleted val="0"/>
    <c:plotArea>
      <c:layout/>
      <c:scatterChart>
        <c:scatterStyle val="lineMarker"/>
        <c:varyColors val="0"/>
        <c:ser>
          <c:idx val="1"/>
          <c:order val="0"/>
          <c:xVal>
            <c:numRef>
              <c:f>Model!$CI$37:$CI$51</c:f>
              <c:numCache>
                <c:formatCode>0%</c:formatCode>
                <c:ptCount val="15"/>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numCache>
            </c:numRef>
          </c:xVal>
          <c:yVal>
            <c:numRef>
              <c:f>Model!$CJ$37:$CJ$51</c:f>
              <c:numCache>
                <c:formatCode>0.0000</c:formatCode>
                <c:ptCount val="15"/>
                <c:pt idx="0">
                  <c:v>0</c:v>
                </c:pt>
                <c:pt idx="1">
                  <c:v>0</c:v>
                </c:pt>
                <c:pt idx="2">
                  <c:v>0.03</c:v>
                </c:pt>
                <c:pt idx="3">
                  <c:v>6.5000000000000002E-2</c:v>
                </c:pt>
                <c:pt idx="4">
                  <c:v>8.4999999999999992E-2</c:v>
                </c:pt>
                <c:pt idx="5">
                  <c:v>0.16999999999999998</c:v>
                </c:pt>
                <c:pt idx="6">
                  <c:v>0.18000000000000002</c:v>
                </c:pt>
                <c:pt idx="7">
                  <c:v>0.28000000000000003</c:v>
                </c:pt>
                <c:pt idx="8">
                  <c:v>0.30000000000000004</c:v>
                </c:pt>
                <c:pt idx="9">
                  <c:v>0.43999999999999995</c:v>
                </c:pt>
                <c:pt idx="10">
                  <c:v>0.47</c:v>
                </c:pt>
                <c:pt idx="11">
                  <c:v>0.63</c:v>
                </c:pt>
                <c:pt idx="12">
                  <c:v>0.67999999999999994</c:v>
                </c:pt>
                <c:pt idx="13">
                  <c:v>0.86</c:v>
                </c:pt>
                <c:pt idx="14">
                  <c:v>0.92999999999999994</c:v>
                </c:pt>
              </c:numCache>
            </c:numRef>
          </c:yVal>
          <c:smooth val="0"/>
          <c:extLst>
            <c:ext xmlns:c16="http://schemas.microsoft.com/office/drawing/2014/chart" uri="{C3380CC4-5D6E-409C-BE32-E72D297353CC}">
              <c16:uniqueId val="{00000004-A843-44C8-9D32-87170306A967}"/>
            </c:ext>
          </c:extLst>
        </c:ser>
        <c:dLbls>
          <c:showLegendKey val="0"/>
          <c:showVal val="0"/>
          <c:showCatName val="0"/>
          <c:showSerName val="0"/>
          <c:showPercent val="0"/>
          <c:showBubbleSize val="0"/>
        </c:dLbls>
        <c:axId val="268434927"/>
        <c:axId val="268451567"/>
      </c:scatterChart>
      <c:valAx>
        <c:axId val="268434927"/>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268451567"/>
        <c:crosses val="autoZero"/>
        <c:crossBetween val="midCat"/>
      </c:valAx>
      <c:valAx>
        <c:axId val="268451567"/>
        <c:scaling>
          <c:orientation val="minMax"/>
        </c:scaling>
        <c:delete val="0"/>
        <c:axPos val="l"/>
        <c:numFmt formatCode="0.00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434927"/>
        <c:crosses val="autoZero"/>
        <c:crossBetween val="midCat"/>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cap="none" baseline="0"/>
              <a:t>F/A vs D/A</a:t>
            </a:r>
          </a:p>
          <a:p>
            <a:pPr>
              <a:defRPr sz="1600" b="1" i="0" u="none" strike="noStrike" kern="1200" cap="all" spc="120" normalizeH="0" baseline="0">
                <a:solidFill>
                  <a:schemeClr val="tx1">
                    <a:lumMod val="65000"/>
                    <a:lumOff val="35000"/>
                  </a:schemeClr>
                </a:solidFill>
                <a:latin typeface="+mn-lt"/>
                <a:ea typeface="+mn-ea"/>
                <a:cs typeface="+mn-cs"/>
              </a:defRPr>
            </a:pPr>
            <a:r>
              <a:rPr lang="en-CA" sz="1100" cap="none" baseline="0"/>
              <a:t>Piecewise Linear</a:t>
            </a:r>
          </a:p>
        </c:rich>
      </c:tx>
      <c:layout>
        <c:manualLayout>
          <c:xMode val="edge"/>
          <c:yMode val="edge"/>
          <c:x val="0.32615973093480133"/>
          <c:y val="1.8518775603226775E-2"/>
        </c:manualLayout>
      </c:layout>
      <c:overlay val="0"/>
      <c:spPr>
        <a:noFill/>
        <a:ln>
          <a:noFill/>
        </a:ln>
        <a:effectLst/>
      </c:spPr>
    </c:title>
    <c:autoTitleDeleted val="0"/>
    <c:plotArea>
      <c:layout/>
      <c:scatterChart>
        <c:scatterStyle val="lineMarker"/>
        <c:varyColors val="0"/>
        <c:ser>
          <c:idx val="1"/>
          <c:order val="0"/>
          <c:xVal>
            <c:numRef>
              <c:f>Model!$CK$37:$CK$51</c:f>
              <c:numCache>
                <c:formatCode>0%</c:formatCode>
                <c:ptCount val="15"/>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numCache>
            </c:numRef>
          </c:xVal>
          <c:yVal>
            <c:numRef>
              <c:f>Model!$CL$37:$CL$51</c:f>
              <c:numCache>
                <c:formatCode>0.00%</c:formatCode>
                <c:ptCount val="15"/>
                <c:pt idx="0">
                  <c:v>0</c:v>
                </c:pt>
                <c:pt idx="1">
                  <c:v>0</c:v>
                </c:pt>
                <c:pt idx="2">
                  <c:v>0</c:v>
                </c:pt>
                <c:pt idx="3">
                  <c:v>2E-3</c:v>
                </c:pt>
                <c:pt idx="4">
                  <c:v>5.4999999999999997E-3</c:v>
                </c:pt>
                <c:pt idx="5">
                  <c:v>9.4999999999999998E-3</c:v>
                </c:pt>
                <c:pt idx="6">
                  <c:v>1.2500000000000001E-2</c:v>
                </c:pt>
                <c:pt idx="7">
                  <c:v>2.4999999999999998E-2</c:v>
                </c:pt>
                <c:pt idx="8">
                  <c:v>2.6000000000000002E-2</c:v>
                </c:pt>
                <c:pt idx="9">
                  <c:v>4.3999999999999997E-2</c:v>
                </c:pt>
                <c:pt idx="10">
                  <c:v>5.2000000000000005E-2</c:v>
                </c:pt>
                <c:pt idx="11">
                  <c:v>7.3999999999999996E-2</c:v>
                </c:pt>
                <c:pt idx="12">
                  <c:v>8.5999999999999993E-2</c:v>
                </c:pt>
                <c:pt idx="13">
                  <c:v>0.112</c:v>
                </c:pt>
                <c:pt idx="14">
                  <c:v>0.128</c:v>
                </c:pt>
              </c:numCache>
            </c:numRef>
          </c:yVal>
          <c:smooth val="0"/>
          <c:extLst>
            <c:ext xmlns:c16="http://schemas.microsoft.com/office/drawing/2014/chart" uri="{C3380CC4-5D6E-409C-BE32-E72D297353CC}">
              <c16:uniqueId val="{00000003-E5BB-4AF2-8E22-9F6C253662F1}"/>
            </c:ext>
          </c:extLst>
        </c:ser>
        <c:dLbls>
          <c:showLegendKey val="0"/>
          <c:showVal val="0"/>
          <c:showCatName val="0"/>
          <c:showSerName val="0"/>
          <c:showPercent val="0"/>
          <c:showBubbleSize val="0"/>
        </c:dLbls>
        <c:axId val="268479023"/>
        <c:axId val="268489007"/>
      </c:scatterChart>
      <c:valAx>
        <c:axId val="268479023"/>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268489007"/>
        <c:crosses val="autoZero"/>
        <c:crossBetween val="midCat"/>
      </c:valAx>
      <c:valAx>
        <c:axId val="268489007"/>
        <c:scaling>
          <c:orientation val="minMax"/>
        </c:scaling>
        <c:delete val="0"/>
        <c:axPos val="l"/>
        <c:numFmt formatCode="0.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479023"/>
        <c:crosses val="autoZero"/>
        <c:crossBetween val="midCat"/>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l-GR" cap="none" baseline="0"/>
              <a:t>β</a:t>
            </a:r>
            <a:r>
              <a:rPr lang="en-US" cap="none" baseline="-25000"/>
              <a:t>D</a:t>
            </a:r>
            <a:r>
              <a:rPr lang="en-CA" cap="none" baseline="0"/>
              <a:t> vs D/A</a:t>
            </a:r>
          </a:p>
          <a:p>
            <a:pPr>
              <a:defRPr sz="1600" b="1" i="0" u="none" strike="noStrike" kern="1200" cap="all" spc="120" normalizeH="0" baseline="0">
                <a:solidFill>
                  <a:schemeClr val="tx1">
                    <a:lumMod val="65000"/>
                    <a:lumOff val="35000"/>
                  </a:schemeClr>
                </a:solidFill>
                <a:latin typeface="+mn-lt"/>
                <a:ea typeface="+mn-ea"/>
                <a:cs typeface="+mn-cs"/>
              </a:defRPr>
            </a:pPr>
            <a:r>
              <a:rPr lang="en-CA" sz="1100" cap="none" baseline="0"/>
              <a:t>Best Fit Curve</a:t>
            </a:r>
            <a:endParaRPr lang="en-US" sz="1100" cap="none" baseline="0"/>
          </a:p>
        </c:rich>
      </c:tx>
      <c:layout>
        <c:manualLayout>
          <c:xMode val="edge"/>
          <c:yMode val="edge"/>
          <c:x val="0.3669791349655705"/>
          <c:y val="3.8088278180913662E-2"/>
        </c:manualLayout>
      </c:layout>
      <c:overlay val="0"/>
      <c:spPr>
        <a:noFill/>
        <a:ln>
          <a:noFill/>
        </a:ln>
        <a:effectLst/>
      </c:spPr>
    </c:title>
    <c:autoTitleDeleted val="0"/>
    <c:plotArea>
      <c:layout/>
      <c:scatterChart>
        <c:scatterStyle val="lineMarker"/>
        <c:varyColors val="0"/>
        <c:ser>
          <c:idx val="0"/>
          <c:order val="0"/>
          <c:spPr>
            <a:ln>
              <a:solidFill>
                <a:srgbClr val="C00000"/>
              </a:solidFill>
            </a:ln>
          </c:spPr>
          <c:marker>
            <c:symbol val="none"/>
          </c:marker>
          <c:xVal>
            <c:numRef>
              <c:f>Model!$CI$55:$CI$69</c:f>
              <c:numCache>
                <c:formatCode>0%</c:formatCode>
                <c:ptCount val="15"/>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numCache>
            </c:numRef>
          </c:xVal>
          <c:yVal>
            <c:numRef>
              <c:f>Model!$CJ$55:$CJ$69</c:f>
              <c:numCache>
                <c:formatCode>0.0000</c:formatCode>
                <c:ptCount val="15"/>
                <c:pt idx="0">
                  <c:v>-3.8545751633985697E-3</c:v>
                </c:pt>
                <c:pt idx="1">
                  <c:v>8.7329598506070243E-3</c:v>
                </c:pt>
                <c:pt idx="2">
                  <c:v>2.9669180492710012E-2</c:v>
                </c:pt>
                <c:pt idx="3">
                  <c:v>5.8996193349134605E-2</c:v>
                </c:pt>
                <c:pt idx="4">
                  <c:v>9.6756105006105098E-2</c:v>
                </c:pt>
                <c:pt idx="5">
                  <c:v>0.14299102204984562</c:v>
                </c:pt>
                <c:pt idx="6">
                  <c:v>0.19774305106658049</c:v>
                </c:pt>
                <c:pt idx="7">
                  <c:v>0.26105429864253393</c:v>
                </c:pt>
                <c:pt idx="8">
                  <c:v>0.33296687136393022</c:v>
                </c:pt>
                <c:pt idx="9">
                  <c:v>0.41352287581699343</c:v>
                </c:pt>
                <c:pt idx="10">
                  <c:v>0.50276441858794796</c:v>
                </c:pt>
                <c:pt idx="11">
                  <c:v>0.60073360626301819</c:v>
                </c:pt>
                <c:pt idx="12">
                  <c:v>0.70747254542842786</c:v>
                </c:pt>
                <c:pt idx="13">
                  <c:v>0.82302334267040167</c:v>
                </c:pt>
                <c:pt idx="14">
                  <c:v>0.94742810457516335</c:v>
                </c:pt>
              </c:numCache>
            </c:numRef>
          </c:yVal>
          <c:smooth val="1"/>
          <c:extLst>
            <c:ext xmlns:c16="http://schemas.microsoft.com/office/drawing/2014/chart" uri="{C3380CC4-5D6E-409C-BE32-E72D297353CC}">
              <c16:uniqueId val="{00000003-3F5B-5E49-941E-27C8C776788F}"/>
            </c:ext>
          </c:extLst>
        </c:ser>
        <c:ser>
          <c:idx val="1"/>
          <c:order val="1"/>
          <c:spPr>
            <a:ln>
              <a:noFill/>
            </a:ln>
          </c:spPr>
          <c:marker>
            <c:symbol val="diamond"/>
            <c:size val="6"/>
          </c:marker>
          <c:xVal>
            <c:numRef>
              <c:f>Model!$D$10:$D$24</c:f>
              <c:numCache>
                <c:formatCode>0%</c:formatCode>
                <c:ptCount val="15"/>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numCache>
            </c:numRef>
          </c:xVal>
          <c:yVal>
            <c:numRef>
              <c:f>Model!$E$10:$E$24</c:f>
              <c:numCache>
                <c:formatCode>0.000</c:formatCode>
                <c:ptCount val="15"/>
                <c:pt idx="0">
                  <c:v>0</c:v>
                </c:pt>
                <c:pt idx="1">
                  <c:v>0</c:v>
                </c:pt>
                <c:pt idx="2">
                  <c:v>0.03</c:v>
                </c:pt>
                <c:pt idx="3">
                  <c:v>6.5000000000000002E-2</c:v>
                </c:pt>
                <c:pt idx="4">
                  <c:v>8.4999999999999992E-2</c:v>
                </c:pt>
                <c:pt idx="5">
                  <c:v>0.16999999999999998</c:v>
                </c:pt>
                <c:pt idx="6">
                  <c:v>0.18000000000000002</c:v>
                </c:pt>
                <c:pt idx="7">
                  <c:v>0.28000000000000003</c:v>
                </c:pt>
                <c:pt idx="8">
                  <c:v>0.30000000000000004</c:v>
                </c:pt>
                <c:pt idx="9">
                  <c:v>0.43999999999999995</c:v>
                </c:pt>
                <c:pt idx="10">
                  <c:v>0.47</c:v>
                </c:pt>
                <c:pt idx="11">
                  <c:v>0.63</c:v>
                </c:pt>
                <c:pt idx="12">
                  <c:v>0.67999999999999994</c:v>
                </c:pt>
                <c:pt idx="13">
                  <c:v>0.86</c:v>
                </c:pt>
                <c:pt idx="14">
                  <c:v>0.92999999999999994</c:v>
                </c:pt>
              </c:numCache>
            </c:numRef>
          </c:yVal>
          <c:smooth val="0"/>
          <c:extLst>
            <c:ext xmlns:c16="http://schemas.microsoft.com/office/drawing/2014/chart" uri="{C3380CC4-5D6E-409C-BE32-E72D297353CC}">
              <c16:uniqueId val="{00000004-3F5B-5E49-941E-27C8C776788F}"/>
            </c:ext>
          </c:extLst>
        </c:ser>
        <c:dLbls>
          <c:showLegendKey val="0"/>
          <c:showVal val="0"/>
          <c:showCatName val="0"/>
          <c:showSerName val="0"/>
          <c:showPercent val="0"/>
          <c:showBubbleSize val="0"/>
        </c:dLbls>
        <c:axId val="268434927"/>
        <c:axId val="268451567"/>
        <c:extLst/>
      </c:scatterChart>
      <c:valAx>
        <c:axId val="268434927"/>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268451567"/>
        <c:crosses val="autoZero"/>
        <c:crossBetween val="midCat"/>
      </c:valAx>
      <c:valAx>
        <c:axId val="268451567"/>
        <c:scaling>
          <c:orientation val="minMax"/>
        </c:scaling>
        <c:delete val="0"/>
        <c:axPos val="l"/>
        <c:numFmt formatCode="0.00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434927"/>
        <c:crosses val="autoZero"/>
        <c:crossBetween val="midCat"/>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CA" cap="none" baseline="0"/>
              <a:t>F/A vs D/A</a:t>
            </a:r>
          </a:p>
          <a:p>
            <a:pPr>
              <a:defRPr sz="1600" b="1" i="0" u="none" strike="noStrike" kern="1200" cap="all" spc="120" normalizeH="0" baseline="0">
                <a:solidFill>
                  <a:schemeClr val="tx1">
                    <a:lumMod val="65000"/>
                    <a:lumOff val="35000"/>
                  </a:schemeClr>
                </a:solidFill>
                <a:latin typeface="+mn-lt"/>
                <a:ea typeface="+mn-ea"/>
                <a:cs typeface="+mn-cs"/>
              </a:defRPr>
            </a:pPr>
            <a:r>
              <a:rPr lang="en-CA" sz="1100" cap="none" baseline="0"/>
              <a:t>Best Fit Curve</a:t>
            </a:r>
          </a:p>
        </c:rich>
      </c:tx>
      <c:layout>
        <c:manualLayout>
          <c:xMode val="edge"/>
          <c:yMode val="edge"/>
          <c:x val="0.39500990285086451"/>
          <c:y val="1.8518870486016834E-2"/>
        </c:manualLayout>
      </c:layout>
      <c:overlay val="0"/>
      <c:spPr>
        <a:noFill/>
        <a:ln>
          <a:noFill/>
        </a:ln>
        <a:effectLst/>
      </c:spPr>
    </c:title>
    <c:autoTitleDeleted val="0"/>
    <c:plotArea>
      <c:layout/>
      <c:scatterChart>
        <c:scatterStyle val="lineMarker"/>
        <c:varyColors val="0"/>
        <c:ser>
          <c:idx val="0"/>
          <c:order val="0"/>
          <c:spPr>
            <a:ln>
              <a:solidFill>
                <a:srgbClr val="C00000"/>
              </a:solidFill>
            </a:ln>
          </c:spPr>
          <c:marker>
            <c:symbol val="none"/>
          </c:marker>
          <c:xVal>
            <c:numRef>
              <c:f>Model!$CK$55:$CK$69</c:f>
              <c:numCache>
                <c:formatCode>0%</c:formatCode>
                <c:ptCount val="15"/>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numCache>
            </c:numRef>
          </c:xVal>
          <c:yVal>
            <c:numRef>
              <c:f>Model!$CL$55:$CL$69</c:f>
              <c:numCache>
                <c:formatCode>0.00%</c:formatCode>
                <c:ptCount val="15"/>
                <c:pt idx="0">
                  <c:v>4.3415032679740978E-4</c:v>
                </c:pt>
                <c:pt idx="1">
                  <c:v>-1.8839869281043179E-4</c:v>
                </c:pt>
                <c:pt idx="2">
                  <c:v>1.9837139984201247E-4</c:v>
                </c:pt>
                <c:pt idx="3">
                  <c:v>1.7234827264239235E-3</c:v>
                </c:pt>
                <c:pt idx="4">
                  <c:v>4.5159574086044837E-3</c:v>
                </c:pt>
                <c:pt idx="5">
                  <c:v>8.7048175680528705E-3</c:v>
                </c:pt>
                <c:pt idx="6">
                  <c:v>1.4419085326438269E-2</c:v>
                </c:pt>
                <c:pt idx="7">
                  <c:v>2.1787782805429853E-2</c:v>
                </c:pt>
                <c:pt idx="8">
                  <c:v>3.093993212669683E-2</c:v>
                </c:pt>
                <c:pt idx="9">
                  <c:v>4.200455541190834E-2</c:v>
                </c:pt>
                <c:pt idx="10">
                  <c:v>5.5110674782733585E-2</c:v>
                </c:pt>
                <c:pt idx="11">
                  <c:v>7.0387312360841781E-2</c:v>
                </c:pt>
                <c:pt idx="12">
                  <c:v>8.7963490267902025E-2</c:v>
                </c:pt>
                <c:pt idx="13">
                  <c:v>0.10796823062558358</c:v>
                </c:pt>
                <c:pt idx="14">
                  <c:v>0.13053055555555554</c:v>
                </c:pt>
              </c:numCache>
            </c:numRef>
          </c:yVal>
          <c:smooth val="1"/>
          <c:extLst>
            <c:ext xmlns:c16="http://schemas.microsoft.com/office/drawing/2014/chart" uri="{C3380CC4-5D6E-409C-BE32-E72D297353CC}">
              <c16:uniqueId val="{00000002-53CB-044F-940E-F0C7EE205B40}"/>
            </c:ext>
          </c:extLst>
        </c:ser>
        <c:ser>
          <c:idx val="1"/>
          <c:order val="1"/>
          <c:spPr>
            <a:ln>
              <a:noFill/>
            </a:ln>
          </c:spPr>
          <c:marker>
            <c:symbol val="diamond"/>
            <c:size val="6"/>
          </c:marker>
          <c:xVal>
            <c:numRef>
              <c:f>Model!$D$10:$D$24</c:f>
              <c:numCache>
                <c:formatCode>0%</c:formatCode>
                <c:ptCount val="15"/>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numCache>
            </c:numRef>
          </c:xVal>
          <c:yVal>
            <c:numRef>
              <c:f>Model!$F$10:$F$24</c:f>
              <c:numCache>
                <c:formatCode>0.00%</c:formatCode>
                <c:ptCount val="15"/>
                <c:pt idx="0">
                  <c:v>0</c:v>
                </c:pt>
                <c:pt idx="1">
                  <c:v>0</c:v>
                </c:pt>
                <c:pt idx="2">
                  <c:v>0</c:v>
                </c:pt>
                <c:pt idx="3">
                  <c:v>2E-3</c:v>
                </c:pt>
                <c:pt idx="4">
                  <c:v>5.4999999999999997E-3</c:v>
                </c:pt>
                <c:pt idx="5">
                  <c:v>9.4999999999999998E-3</c:v>
                </c:pt>
                <c:pt idx="6">
                  <c:v>1.2500000000000001E-2</c:v>
                </c:pt>
                <c:pt idx="7">
                  <c:v>2.4999999999999998E-2</c:v>
                </c:pt>
                <c:pt idx="8">
                  <c:v>2.6000000000000002E-2</c:v>
                </c:pt>
                <c:pt idx="9">
                  <c:v>4.3999999999999997E-2</c:v>
                </c:pt>
                <c:pt idx="10">
                  <c:v>5.2000000000000005E-2</c:v>
                </c:pt>
                <c:pt idx="11">
                  <c:v>7.3999999999999996E-2</c:v>
                </c:pt>
                <c:pt idx="12">
                  <c:v>8.5999999999999993E-2</c:v>
                </c:pt>
                <c:pt idx="13">
                  <c:v>0.112</c:v>
                </c:pt>
                <c:pt idx="14">
                  <c:v>0.128</c:v>
                </c:pt>
              </c:numCache>
            </c:numRef>
          </c:yVal>
          <c:smooth val="0"/>
          <c:extLst>
            <c:ext xmlns:c16="http://schemas.microsoft.com/office/drawing/2014/chart" uri="{C3380CC4-5D6E-409C-BE32-E72D297353CC}">
              <c16:uniqueId val="{00000003-53CB-044F-940E-F0C7EE205B40}"/>
            </c:ext>
          </c:extLst>
        </c:ser>
        <c:dLbls>
          <c:showLegendKey val="0"/>
          <c:showVal val="0"/>
          <c:showCatName val="0"/>
          <c:showSerName val="0"/>
          <c:showPercent val="0"/>
          <c:showBubbleSize val="0"/>
        </c:dLbls>
        <c:axId val="268479023"/>
        <c:axId val="268489007"/>
        <c:extLst/>
      </c:scatterChart>
      <c:valAx>
        <c:axId val="268479023"/>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268489007"/>
        <c:crosses val="autoZero"/>
        <c:crossBetween val="midCat"/>
      </c:valAx>
      <c:valAx>
        <c:axId val="268489007"/>
        <c:scaling>
          <c:orientation val="minMax"/>
        </c:scaling>
        <c:delete val="0"/>
        <c:axPos val="l"/>
        <c:numFmt formatCode="0.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479023"/>
        <c:crosses val="autoZero"/>
        <c:crossBetween val="midCat"/>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F/A vs D/A</a:t>
            </a:r>
          </a:p>
          <a:p>
            <a:pPr>
              <a:defRPr/>
            </a:pPr>
            <a:r>
              <a:rPr lang="en-US" sz="1100" b="1"/>
              <a:t>Best</a:t>
            </a:r>
            <a:r>
              <a:rPr lang="en-US" sz="1100" b="1" baseline="0"/>
              <a:t> Fit Segments</a:t>
            </a:r>
            <a:endParaRPr lang="en-US" sz="11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solidFill>
                <a:srgbClr val="C00000"/>
              </a:solidFill>
              <a:round/>
            </a:ln>
            <a:effectLst/>
          </c:spPr>
          <c:marker>
            <c:symbol val="none"/>
          </c:marker>
          <c:xVal>
            <c:numRef>
              <c:f>Model!$CP$15:$CP$22</c:f>
              <c:numCache>
                <c:formatCode>0%</c:formatCode>
                <c:ptCount val="8"/>
                <c:pt idx="0">
                  <c:v>0</c:v>
                </c:pt>
                <c:pt idx="1">
                  <c:v>0.05</c:v>
                </c:pt>
                <c:pt idx="2">
                  <c:v>0.1</c:v>
                </c:pt>
                <c:pt idx="3">
                  <c:v>0.15</c:v>
                </c:pt>
                <c:pt idx="4">
                  <c:v>0.2</c:v>
                </c:pt>
                <c:pt idx="5">
                  <c:v>0.25</c:v>
                </c:pt>
                <c:pt idx="6">
                  <c:v>0.3</c:v>
                </c:pt>
                <c:pt idx="7">
                  <c:v>0.35</c:v>
                </c:pt>
              </c:numCache>
            </c:numRef>
          </c:xVal>
          <c:yVal>
            <c:numRef>
              <c:f>Model!$CQ$15:$CQ$22</c:f>
              <c:numCache>
                <c:formatCode>0.00%</c:formatCode>
                <c:ptCount val="8"/>
                <c:pt idx="0">
                  <c:v>8.6642606453845466E-4</c:v>
                </c:pt>
                <c:pt idx="1">
                  <c:v>2.3072819565883609E-4</c:v>
                </c:pt>
                <c:pt idx="2">
                  <c:v>5.1069252819384682E-4</c:v>
                </c:pt>
                <c:pt idx="3">
                  <c:v>1.8732700818260171E-3</c:v>
                </c:pt>
                <c:pt idx="4">
                  <c:v>4.4854118762378782E-3</c:v>
                </c:pt>
                <c:pt idx="5">
                  <c:v>8.514068931111958E-3</c:v>
                </c:pt>
                <c:pt idx="6">
                  <c:v>1.412619226613079E-2</c:v>
                </c:pt>
                <c:pt idx="7">
                  <c:v>2.1488732900976901E-2</c:v>
                </c:pt>
              </c:numCache>
            </c:numRef>
          </c:yVal>
          <c:smooth val="1"/>
          <c:extLst>
            <c:ext xmlns:c16="http://schemas.microsoft.com/office/drawing/2014/chart" uri="{C3380CC4-5D6E-409C-BE32-E72D297353CC}">
              <c16:uniqueId val="{00000001-1E90-46C8-B78E-AE65BC851EA9}"/>
            </c:ext>
          </c:extLst>
        </c:ser>
        <c:ser>
          <c:idx val="1"/>
          <c:order val="1"/>
          <c:spPr>
            <a:ln w="25400" cap="rnd">
              <a:solidFill>
                <a:schemeClr val="accent1"/>
              </a:solidFill>
              <a:round/>
            </a:ln>
            <a:effectLst/>
          </c:spPr>
          <c:marker>
            <c:symbol val="none"/>
          </c:marker>
          <c:xVal>
            <c:numRef>
              <c:f>Model!$CP$22:$CP$29</c:f>
              <c:numCache>
                <c:formatCode>0%</c:formatCode>
                <c:ptCount val="8"/>
                <c:pt idx="0">
                  <c:v>0.35</c:v>
                </c:pt>
                <c:pt idx="1">
                  <c:v>0.4</c:v>
                </c:pt>
                <c:pt idx="2">
                  <c:v>0.45</c:v>
                </c:pt>
                <c:pt idx="3">
                  <c:v>0.5</c:v>
                </c:pt>
                <c:pt idx="4">
                  <c:v>0.55000000000000004</c:v>
                </c:pt>
                <c:pt idx="5">
                  <c:v>0.6</c:v>
                </c:pt>
                <c:pt idx="6">
                  <c:v>0.65</c:v>
                </c:pt>
                <c:pt idx="7">
                  <c:v>0.7</c:v>
                </c:pt>
              </c:numCache>
            </c:numRef>
          </c:xVal>
          <c:yVal>
            <c:numRef>
              <c:f>Model!$CQ$22:$CQ$29</c:f>
              <c:numCache>
                <c:formatCode>0.00%</c:formatCode>
                <c:ptCount val="8"/>
                <c:pt idx="0">
                  <c:v>2.1488732900976901E-2</c:v>
                </c:pt>
                <c:pt idx="1">
                  <c:v>3.0751434627454107E-2</c:v>
                </c:pt>
                <c:pt idx="2">
                  <c:v>4.1995219326247078E-2</c:v>
                </c:pt>
                <c:pt idx="3">
                  <c:v>5.5283801070226811E-2</c:v>
                </c:pt>
                <c:pt idx="4">
                  <c:v>7.0680894227362276E-2</c:v>
                </c:pt>
                <c:pt idx="5">
                  <c:v>8.8250213165622371E-2</c:v>
                </c:pt>
                <c:pt idx="6">
                  <c:v>0.10805547225297614</c:v>
                </c:pt>
                <c:pt idx="7">
                  <c:v>0.13016038585739237</c:v>
                </c:pt>
              </c:numCache>
            </c:numRef>
          </c:yVal>
          <c:smooth val="1"/>
          <c:extLst>
            <c:ext xmlns:c16="http://schemas.microsoft.com/office/drawing/2014/chart" uri="{C3380CC4-5D6E-409C-BE32-E72D297353CC}">
              <c16:uniqueId val="{00000003-1E90-46C8-B78E-AE65BC851EA9}"/>
            </c:ext>
          </c:extLst>
        </c:ser>
        <c:ser>
          <c:idx val="2"/>
          <c:order val="2"/>
          <c:spPr>
            <a:ln w="19050" cap="rnd">
              <a:noFill/>
              <a:round/>
            </a:ln>
            <a:effectLst/>
          </c:spPr>
          <c:marker>
            <c:symbol val="diamond"/>
            <c:size val="6"/>
            <c:spPr>
              <a:solidFill>
                <a:srgbClr val="C00000"/>
              </a:solidFill>
              <a:ln w="9525">
                <a:solidFill>
                  <a:schemeClr val="accent1"/>
                </a:solidFill>
              </a:ln>
              <a:effectLst/>
            </c:spPr>
          </c:marker>
          <c:xVal>
            <c:numRef>
              <c:f>Model!$D$10:$D$24</c:f>
              <c:numCache>
                <c:formatCode>0%</c:formatCode>
                <c:ptCount val="15"/>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numCache>
            </c:numRef>
          </c:xVal>
          <c:yVal>
            <c:numRef>
              <c:f>Model!$F$10:$F$24</c:f>
              <c:numCache>
                <c:formatCode>0.00%</c:formatCode>
                <c:ptCount val="15"/>
                <c:pt idx="0">
                  <c:v>0</c:v>
                </c:pt>
                <c:pt idx="1">
                  <c:v>0</c:v>
                </c:pt>
                <c:pt idx="2">
                  <c:v>0</c:v>
                </c:pt>
                <c:pt idx="3">
                  <c:v>2E-3</c:v>
                </c:pt>
                <c:pt idx="4">
                  <c:v>5.4999999999999997E-3</c:v>
                </c:pt>
                <c:pt idx="5">
                  <c:v>9.4999999999999998E-3</c:v>
                </c:pt>
                <c:pt idx="6">
                  <c:v>1.2500000000000001E-2</c:v>
                </c:pt>
                <c:pt idx="7">
                  <c:v>2.4999999999999998E-2</c:v>
                </c:pt>
                <c:pt idx="8">
                  <c:v>2.6000000000000002E-2</c:v>
                </c:pt>
                <c:pt idx="9">
                  <c:v>4.3999999999999997E-2</c:v>
                </c:pt>
                <c:pt idx="10">
                  <c:v>5.2000000000000005E-2</c:v>
                </c:pt>
                <c:pt idx="11">
                  <c:v>7.3999999999999996E-2</c:v>
                </c:pt>
                <c:pt idx="12">
                  <c:v>8.5999999999999993E-2</c:v>
                </c:pt>
                <c:pt idx="13">
                  <c:v>0.112</c:v>
                </c:pt>
                <c:pt idx="14">
                  <c:v>0.128</c:v>
                </c:pt>
              </c:numCache>
            </c:numRef>
          </c:yVal>
          <c:smooth val="0"/>
          <c:extLst>
            <c:ext xmlns:c16="http://schemas.microsoft.com/office/drawing/2014/chart" uri="{C3380CC4-5D6E-409C-BE32-E72D297353CC}">
              <c16:uniqueId val="{00000003-837C-4D48-A9C3-09C2897A8536}"/>
            </c:ext>
          </c:extLst>
        </c:ser>
        <c:dLbls>
          <c:showLegendKey val="0"/>
          <c:showVal val="0"/>
          <c:showCatName val="0"/>
          <c:showSerName val="0"/>
          <c:showPercent val="0"/>
          <c:showBubbleSize val="0"/>
        </c:dLbls>
        <c:axId val="1998547488"/>
        <c:axId val="1998552896"/>
      </c:scatterChart>
      <c:valAx>
        <c:axId val="1998547488"/>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8552896"/>
        <c:crosses val="autoZero"/>
        <c:crossBetween val="midCat"/>
      </c:valAx>
      <c:valAx>
        <c:axId val="1998552896"/>
        <c:scaling>
          <c:orientation val="minMax"/>
        </c:scaling>
        <c:delete val="0"/>
        <c:axPos val="l"/>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85474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l-GR" sz="1800" b="1" i="0" baseline="0">
                <a:effectLst/>
              </a:rPr>
              <a:t>β</a:t>
            </a:r>
            <a:r>
              <a:rPr lang="en-US" sz="1800" b="1" i="0" baseline="-25000">
                <a:effectLst/>
              </a:rPr>
              <a:t>D</a:t>
            </a:r>
            <a:r>
              <a:rPr lang="en-CA" sz="1800" b="1" i="0" baseline="0">
                <a:effectLst/>
              </a:rPr>
              <a:t> vs D/A</a:t>
            </a:r>
            <a:endParaRPr lang="en-US">
              <a:effectLst/>
            </a:endParaRPr>
          </a:p>
          <a:p>
            <a:pPr>
              <a:defRPr/>
            </a:pPr>
            <a:r>
              <a:rPr lang="en-CA" sz="1100" b="1" i="0" baseline="0">
                <a:effectLst/>
              </a:rPr>
              <a:t>Best Fit Segments</a:t>
            </a:r>
            <a:endParaRPr lang="en-US" sz="10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solidFill>
                <a:srgbClr val="C00000"/>
              </a:solidFill>
              <a:round/>
            </a:ln>
            <a:effectLst/>
          </c:spPr>
          <c:marker>
            <c:symbol val="none"/>
          </c:marker>
          <c:xVal>
            <c:numRef>
              <c:f>Model!$CN$15:$CN$22</c:f>
              <c:numCache>
                <c:formatCode>0%</c:formatCode>
                <c:ptCount val="8"/>
                <c:pt idx="0">
                  <c:v>0</c:v>
                </c:pt>
                <c:pt idx="1">
                  <c:v>0.05</c:v>
                </c:pt>
                <c:pt idx="2">
                  <c:v>0.1</c:v>
                </c:pt>
                <c:pt idx="3">
                  <c:v>0.15</c:v>
                </c:pt>
                <c:pt idx="4">
                  <c:v>0.2</c:v>
                </c:pt>
                <c:pt idx="5">
                  <c:v>0.25</c:v>
                </c:pt>
                <c:pt idx="6">
                  <c:v>0.3</c:v>
                </c:pt>
                <c:pt idx="7">
                  <c:v>0.35</c:v>
                </c:pt>
              </c:numCache>
            </c:numRef>
          </c:xVal>
          <c:yVal>
            <c:numRef>
              <c:f>Model!$CO$15:$CO$22</c:f>
              <c:numCache>
                <c:formatCode>0.0000</c:formatCode>
                <c:ptCount val="8"/>
                <c:pt idx="0">
                  <c:v>2.7934687740456375E-4</c:v>
                </c:pt>
                <c:pt idx="1">
                  <c:v>1.9941847720427362E-2</c:v>
                </c:pt>
                <c:pt idx="2">
                  <c:v>4.2238602804709459E-2</c:v>
                </c:pt>
                <c:pt idx="3">
                  <c:v>6.886791855758298E-2</c:v>
                </c:pt>
                <c:pt idx="4">
                  <c:v>0.10152810140638008</c:v>
                </c:pt>
                <c:pt idx="5">
                  <c:v>0.14191745777843284</c:v>
                </c:pt>
                <c:pt idx="6">
                  <c:v>0.1917342941010734</c:v>
                </c:pt>
                <c:pt idx="7">
                  <c:v>0.2526769168016339</c:v>
                </c:pt>
              </c:numCache>
            </c:numRef>
          </c:yVal>
          <c:smooth val="1"/>
          <c:extLst>
            <c:ext xmlns:c16="http://schemas.microsoft.com/office/drawing/2014/chart" uri="{C3380CC4-5D6E-409C-BE32-E72D297353CC}">
              <c16:uniqueId val="{00000001-6BC2-4E8E-A77E-4EDB0DEFB3BB}"/>
            </c:ext>
          </c:extLst>
        </c:ser>
        <c:ser>
          <c:idx val="1"/>
          <c:order val="1"/>
          <c:spPr>
            <a:ln w="25400" cap="rnd">
              <a:solidFill>
                <a:schemeClr val="accent1"/>
              </a:solidFill>
              <a:round/>
            </a:ln>
            <a:effectLst/>
          </c:spPr>
          <c:marker>
            <c:symbol val="none"/>
          </c:marker>
          <c:xVal>
            <c:numRef>
              <c:f>Model!$CN$22:$CN$29</c:f>
              <c:numCache>
                <c:formatCode>0%</c:formatCode>
                <c:ptCount val="8"/>
                <c:pt idx="0">
                  <c:v>0.35</c:v>
                </c:pt>
                <c:pt idx="1">
                  <c:v>0.4</c:v>
                </c:pt>
                <c:pt idx="2">
                  <c:v>0.45</c:v>
                </c:pt>
                <c:pt idx="3">
                  <c:v>0.5</c:v>
                </c:pt>
                <c:pt idx="4">
                  <c:v>0.55000000000000004</c:v>
                </c:pt>
                <c:pt idx="5">
                  <c:v>0.6</c:v>
                </c:pt>
                <c:pt idx="6">
                  <c:v>0.65</c:v>
                </c:pt>
                <c:pt idx="7">
                  <c:v>0.7</c:v>
                </c:pt>
              </c:numCache>
            </c:numRef>
          </c:xVal>
          <c:yVal>
            <c:numRef>
              <c:f>Model!$CO$22:$CO$29</c:f>
              <c:numCache>
                <c:formatCode>0.0000</c:formatCode>
                <c:ptCount val="8"/>
                <c:pt idx="0">
                  <c:v>0.2526769168016339</c:v>
                </c:pt>
                <c:pt idx="1">
                  <c:v>0.32588373663910442</c:v>
                </c:pt>
                <c:pt idx="2">
                  <c:v>0.41025359793834826</c:v>
                </c:pt>
                <c:pt idx="3">
                  <c:v>0.50412544417334115</c:v>
                </c:pt>
                <c:pt idx="4">
                  <c:v>0.6058382214119008</c:v>
                </c:pt>
                <c:pt idx="5">
                  <c:v>0.71373087572184457</c:v>
                </c:pt>
                <c:pt idx="6">
                  <c:v>0.82614235317098983</c:v>
                </c:pt>
                <c:pt idx="7">
                  <c:v>0.94141159982715461</c:v>
                </c:pt>
              </c:numCache>
            </c:numRef>
          </c:yVal>
          <c:smooth val="1"/>
          <c:extLst>
            <c:ext xmlns:c16="http://schemas.microsoft.com/office/drawing/2014/chart" uri="{C3380CC4-5D6E-409C-BE32-E72D297353CC}">
              <c16:uniqueId val="{00000003-6BC2-4E8E-A77E-4EDB0DEFB3BB}"/>
            </c:ext>
          </c:extLst>
        </c:ser>
        <c:ser>
          <c:idx val="2"/>
          <c:order val="2"/>
          <c:spPr>
            <a:ln w="19050" cap="rnd">
              <a:noFill/>
              <a:round/>
            </a:ln>
            <a:effectLst/>
          </c:spPr>
          <c:marker>
            <c:symbol val="diamond"/>
            <c:size val="6"/>
            <c:spPr>
              <a:solidFill>
                <a:srgbClr val="C00000"/>
              </a:solidFill>
              <a:ln w="9525">
                <a:solidFill>
                  <a:schemeClr val="accent1"/>
                </a:solidFill>
              </a:ln>
              <a:effectLst/>
            </c:spPr>
          </c:marker>
          <c:xVal>
            <c:numRef>
              <c:f>Model!$D$10:$D$24</c:f>
              <c:numCache>
                <c:formatCode>0%</c:formatCode>
                <c:ptCount val="15"/>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numCache>
            </c:numRef>
          </c:xVal>
          <c:yVal>
            <c:numRef>
              <c:f>Model!$E$10:$E$24</c:f>
              <c:numCache>
                <c:formatCode>0.000</c:formatCode>
                <c:ptCount val="15"/>
                <c:pt idx="0">
                  <c:v>0</c:v>
                </c:pt>
                <c:pt idx="1">
                  <c:v>0</c:v>
                </c:pt>
                <c:pt idx="2">
                  <c:v>0.03</c:v>
                </c:pt>
                <c:pt idx="3">
                  <c:v>6.5000000000000002E-2</c:v>
                </c:pt>
                <c:pt idx="4">
                  <c:v>8.4999999999999992E-2</c:v>
                </c:pt>
                <c:pt idx="5">
                  <c:v>0.16999999999999998</c:v>
                </c:pt>
                <c:pt idx="6">
                  <c:v>0.18000000000000002</c:v>
                </c:pt>
                <c:pt idx="7">
                  <c:v>0.28000000000000003</c:v>
                </c:pt>
                <c:pt idx="8">
                  <c:v>0.30000000000000004</c:v>
                </c:pt>
                <c:pt idx="9">
                  <c:v>0.43999999999999995</c:v>
                </c:pt>
                <c:pt idx="10">
                  <c:v>0.47</c:v>
                </c:pt>
                <c:pt idx="11">
                  <c:v>0.63</c:v>
                </c:pt>
                <c:pt idx="12">
                  <c:v>0.67999999999999994</c:v>
                </c:pt>
                <c:pt idx="13">
                  <c:v>0.86</c:v>
                </c:pt>
                <c:pt idx="14">
                  <c:v>0.92999999999999994</c:v>
                </c:pt>
              </c:numCache>
            </c:numRef>
          </c:yVal>
          <c:smooth val="0"/>
          <c:extLst>
            <c:ext xmlns:c16="http://schemas.microsoft.com/office/drawing/2014/chart" uri="{C3380CC4-5D6E-409C-BE32-E72D297353CC}">
              <c16:uniqueId val="{00000005-ADDA-704B-85C2-96E6DA0580E3}"/>
            </c:ext>
          </c:extLst>
        </c:ser>
        <c:dLbls>
          <c:showLegendKey val="0"/>
          <c:showVal val="0"/>
          <c:showCatName val="0"/>
          <c:showSerName val="0"/>
          <c:showPercent val="0"/>
          <c:showBubbleSize val="0"/>
        </c:dLbls>
        <c:axId val="1998545408"/>
        <c:axId val="1998522944"/>
      </c:scatterChart>
      <c:valAx>
        <c:axId val="1998545408"/>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8522944"/>
        <c:crosses val="autoZero"/>
        <c:crossBetween val="midCat"/>
      </c:valAx>
      <c:valAx>
        <c:axId val="1998522944"/>
        <c:scaling>
          <c:orientation val="minMax"/>
        </c:scaling>
        <c:delete val="0"/>
        <c:axPos val="l"/>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8545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0</xdr:rowOff>
    </xdr:from>
    <xdr:to>
      <xdr:col>10</xdr:col>
      <xdr:colOff>0</xdr:colOff>
      <xdr:row>58</xdr:row>
      <xdr:rowOff>142875</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0" y="381000"/>
          <a:ext cx="5905500" cy="10839450"/>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Introduction:</a:t>
          </a:r>
        </a:p>
        <a:p>
          <a:r>
            <a:rPr lang="en-US" sz="1100" b="0" i="0" u="none" strike="noStrike">
              <a:solidFill>
                <a:schemeClr val="dk1"/>
              </a:solidFill>
              <a:effectLst/>
              <a:latin typeface="+mn-lt"/>
              <a:ea typeface="+mn-ea"/>
              <a:cs typeface="+mn-cs"/>
            </a:rPr>
            <a:t>This Model can help determine the optimal capital structure (Debt to asset ratio) for a firm given the market condition and a schedule of the risk of Debt and financial distress cost as a function of the Firm's leverage (Debt to asset ratio).</a:t>
          </a:r>
        </a:p>
        <a:p>
          <a:endParaRPr lang="en-US" sz="1100" b="0" i="0" u="none" strike="noStrike">
            <a:solidFill>
              <a:schemeClr val="dk1"/>
            </a:solidFill>
            <a:effectLst/>
            <a:latin typeface="+mn-lt"/>
            <a:ea typeface="+mn-ea"/>
            <a:cs typeface="+mn-cs"/>
          </a:endParaRPr>
        </a:p>
        <a:p>
          <a:r>
            <a:rPr lang="en-US" sz="1600" b="1" i="0" u="none" strike="noStrike">
              <a:solidFill>
                <a:schemeClr val="dk1"/>
              </a:solidFill>
              <a:effectLst/>
              <a:latin typeface="+mn-lt"/>
              <a:ea typeface="+mn-ea"/>
              <a:cs typeface="+mn-cs"/>
            </a:rPr>
            <a:t>Using The Model:</a:t>
          </a:r>
        </a:p>
        <a:p>
          <a:r>
            <a:rPr lang="en-US" sz="1100" b="0" i="0" u="none" strike="noStrike">
              <a:solidFill>
                <a:schemeClr val="dk1"/>
              </a:solidFill>
              <a:effectLst/>
              <a:latin typeface="+mn-lt"/>
              <a:ea typeface="+mn-ea"/>
              <a:cs typeface="+mn-cs"/>
            </a:rPr>
            <a:t>The user is allowed to input the following information:</a:t>
          </a:r>
        </a:p>
        <a:p>
          <a:r>
            <a:rPr lang="en-US" sz="1100" b="0" i="0" u="none" strike="noStrike">
              <a:solidFill>
                <a:schemeClr val="dk1"/>
              </a:solidFill>
              <a:effectLst/>
              <a:latin typeface="+mn-lt"/>
              <a:ea typeface="+mn-ea"/>
              <a:cs typeface="+mn-cs"/>
            </a:rPr>
            <a:t>The risk-free rate, Market-risk premium, Tax rate, Operating income, Beta of assets, Interest deductibility, debt risk schedule, financial distress schedule, and D/A schedule.</a:t>
          </a:r>
        </a:p>
        <a:p>
          <a:endParaRPr lang="en-US" sz="1100" b="0"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1. Enter Risk-Free Rate, Market Risk Premium, Tax Rate, Operating Income, Asset's Beta, and Choose whether the income from interest is Tax deductable or not on the Model Sheet.</a:t>
          </a:r>
        </a:p>
        <a:p>
          <a:r>
            <a:rPr lang="en-US" sz="1100" b="0" i="0" u="none" strike="noStrike">
              <a:solidFill>
                <a:schemeClr val="dk1"/>
              </a:solidFill>
              <a:effectLst/>
              <a:latin typeface="+mn-lt"/>
              <a:ea typeface="+mn-ea"/>
              <a:cs typeface="+mn-cs"/>
            </a:rPr>
            <a:t>2. Please also select whether the financial distress cost to be calculated as F/A or F/EBIT0.</a:t>
          </a:r>
        </a:p>
        <a:p>
          <a:r>
            <a:rPr lang="en-US" sz="1100" b="0" i="0" u="none" strike="noStrike">
              <a:solidFill>
                <a:schemeClr val="dk1"/>
              </a:solidFill>
              <a:effectLst/>
              <a:latin typeface="+mn-lt"/>
              <a:ea typeface="+mn-ea"/>
              <a:cs typeface="+mn-cs"/>
            </a:rPr>
            <a:t>3. Nest input the schedule for Risk of Debt, financial distress cost, and D/A in an ascending order</a:t>
          </a:r>
        </a:p>
        <a:p>
          <a:r>
            <a:rPr lang="en-US" sz="1100" b="0" i="0" u="none" strike="noStrike">
              <a:solidFill>
                <a:schemeClr val="dk1"/>
              </a:solidFill>
              <a:effectLst/>
              <a:latin typeface="+mn-lt"/>
              <a:ea typeface="+mn-ea"/>
              <a:cs typeface="+mn-cs"/>
            </a:rPr>
            <a:t>4. The Model, by default, automatically highlights the optimal Debt to Asset ratio that maximizes the Firm's Asset value. (Highlighted in Yellow in the Debt Schedule). The Model also built a chart showing the relationship between the Asset and Debt by Asset Ratio</a:t>
          </a:r>
        </a:p>
        <a:p>
          <a:r>
            <a:rPr lang="en-US" sz="1100" b="0" i="0" u="none" strike="noStrike">
              <a:solidFill>
                <a:schemeClr val="dk1"/>
              </a:solidFill>
              <a:effectLst/>
              <a:latin typeface="+mn-lt"/>
              <a:ea typeface="+mn-ea"/>
              <a:cs typeface="+mn-cs"/>
            </a:rPr>
            <a:t>5. Now, the Model also allows the user to back up his data and restore whenever needed using the "Backup User Data" and "Restore User Data" buttons</a:t>
          </a:r>
        </a:p>
        <a:p>
          <a:r>
            <a:rPr lang="en-US" sz="1100" b="0" i="0" u="none" strike="noStrike">
              <a:solidFill>
                <a:schemeClr val="dk1"/>
              </a:solidFill>
              <a:effectLst/>
              <a:latin typeface="+mn-lt"/>
              <a:ea typeface="+mn-ea"/>
              <a:cs typeface="+mn-cs"/>
            </a:rPr>
            <a:t>6. The user can also perform Modigliani-Millier scenarios: MM1 without Taxes and MM1 with Taxes to find optimal Debt to asset Ratio. The Model updates the chart according to the selections.</a:t>
          </a:r>
        </a:p>
        <a:p>
          <a:r>
            <a:rPr lang="en-US" sz="1100" b="0" i="0" u="none" strike="noStrike">
              <a:solidFill>
                <a:schemeClr val="dk1"/>
              </a:solidFill>
              <a:effectLst/>
              <a:latin typeface="+mn-lt"/>
              <a:ea typeface="+mn-ea"/>
              <a:cs typeface="+mn-cs"/>
            </a:rPr>
            <a:t>7. The Model also allows the user to find precise Debt to asset ratio using four alternative methods: Stepwise, Piecewise, Best Fit Curve, and Best Fit Segment.</a:t>
          </a:r>
        </a:p>
        <a:p>
          <a:r>
            <a:rPr lang="en-US" sz="1100" b="0" i="0" u="none" strike="noStrike">
              <a:solidFill>
                <a:schemeClr val="dk1"/>
              </a:solidFill>
              <a:effectLst/>
              <a:latin typeface="+mn-lt"/>
              <a:ea typeface="+mn-ea"/>
              <a:cs typeface="+mn-cs"/>
            </a:rPr>
            <a:t>8. These methods provide precise optimal Debt to Asset ratio using the theoretical approach, and the user can get these results by clicking on the "Optimal D/A" button</a:t>
          </a:r>
        </a:p>
        <a:p>
          <a:r>
            <a:rPr lang="en-US" sz="1100" b="0" i="0" u="none" strike="noStrike">
              <a:solidFill>
                <a:schemeClr val="dk1"/>
              </a:solidFill>
              <a:effectLst/>
              <a:latin typeface="+mn-lt"/>
              <a:ea typeface="+mn-ea"/>
              <a:cs typeface="+mn-cs"/>
            </a:rPr>
            <a:t>7. The user can navigate to Work Area and back to Model using the "Go To Work Area" and " Go Back To Model" buttons, respectively</a:t>
          </a:r>
        </a:p>
        <a:p>
          <a:endParaRPr lang="en-US" sz="1100" b="0" i="0" u="none" strike="noStrike">
            <a:solidFill>
              <a:schemeClr val="dk1"/>
            </a:solidFill>
            <a:effectLst/>
            <a:latin typeface="+mn-lt"/>
            <a:ea typeface="+mn-ea"/>
            <a:cs typeface="+mn-cs"/>
          </a:endParaRPr>
        </a:p>
        <a:p>
          <a:r>
            <a:rPr lang="en-US" sz="1600" b="1" i="0" u="none" strike="noStrike">
              <a:solidFill>
                <a:schemeClr val="dk1"/>
              </a:solidFill>
              <a:effectLst/>
              <a:latin typeface="+mn-lt"/>
              <a:ea typeface="+mn-ea"/>
              <a:cs typeface="+mn-cs"/>
            </a:rPr>
            <a:t>Interpreting the results:</a:t>
          </a:r>
        </a:p>
        <a:p>
          <a:r>
            <a:rPr lang="en-US" sz="1100" b="0" i="0" u="none" strike="noStrike">
              <a:solidFill>
                <a:schemeClr val="dk1"/>
              </a:solidFill>
              <a:effectLst/>
              <a:latin typeface="+mn-lt"/>
              <a:ea typeface="+mn-ea"/>
              <a:cs typeface="+mn-cs"/>
            </a:rPr>
            <a:t>The Model provided the Debt level as a percentage of the Asset that maximizes the Firm's market value. </a:t>
          </a:r>
        </a:p>
        <a:p>
          <a:r>
            <a:rPr lang="en-US" sz="1100" b="0" i="0" u="none" strike="noStrike">
              <a:solidFill>
                <a:schemeClr val="dk1"/>
              </a:solidFill>
              <a:effectLst/>
              <a:latin typeface="+mn-lt"/>
              <a:ea typeface="+mn-ea"/>
              <a:cs typeface="+mn-cs"/>
            </a:rPr>
            <a:t>By default, the Model calculates the optimal debt level based on a non-linear relationship between the Debt level and the Firm Market Value. </a:t>
          </a:r>
        </a:p>
        <a:p>
          <a:r>
            <a:rPr lang="en-US" sz="1100" b="0" i="0" u="none" strike="noStrike">
              <a:solidFill>
                <a:schemeClr val="dk1"/>
              </a:solidFill>
              <a:effectLst/>
              <a:latin typeface="+mn-lt"/>
              <a:ea typeface="+mn-ea"/>
              <a:cs typeface="+mn-cs"/>
            </a:rPr>
            <a:t>Under the MM1 without Taxes scenario, the Model results in the Firm's value independent of the Debt level.</a:t>
          </a:r>
        </a:p>
        <a:p>
          <a:r>
            <a:rPr lang="en-US" sz="1100" b="0" i="0" u="none" strike="noStrike">
              <a:solidFill>
                <a:schemeClr val="dk1"/>
              </a:solidFill>
              <a:effectLst/>
              <a:latin typeface="+mn-lt"/>
              <a:ea typeface="+mn-ea"/>
              <a:cs typeface="+mn-cs"/>
            </a:rPr>
            <a:t>Under MM! with Taxes scenario, the Model results in the Firm's value that increases with an increase in the debt level.</a:t>
          </a:r>
        </a:p>
        <a:p>
          <a:r>
            <a:rPr lang="en-US" sz="1100" b="0" i="0" u="none" strike="noStrike">
              <a:solidFill>
                <a:schemeClr val="dk1"/>
              </a:solidFill>
              <a:effectLst/>
              <a:latin typeface="+mn-lt"/>
              <a:ea typeface="+mn-ea"/>
              <a:cs typeface="+mn-cs"/>
            </a:rPr>
            <a:t>For example, if optimal D/A is 15%, then Debt should be 15% of the Firm's total assets so that the Firm's Market Value is maximized under real-world scenarios </a:t>
          </a:r>
        </a:p>
        <a:p>
          <a:endParaRPr lang="en-US" sz="1100" b="0" i="0" u="none" strike="noStrike">
            <a:solidFill>
              <a:schemeClr val="dk1"/>
            </a:solidFill>
            <a:effectLst/>
            <a:latin typeface="+mn-lt"/>
            <a:ea typeface="+mn-ea"/>
            <a:cs typeface="+mn-cs"/>
          </a:endParaRPr>
        </a:p>
        <a:p>
          <a:r>
            <a:rPr lang="en-US" sz="1600" b="1" i="0" u="none" strike="noStrike">
              <a:solidFill>
                <a:schemeClr val="dk1"/>
              </a:solidFill>
              <a:effectLst/>
              <a:latin typeface="+mn-lt"/>
              <a:ea typeface="+mn-ea"/>
              <a:cs typeface="+mn-cs"/>
            </a:rPr>
            <a:t>Technical Details:</a:t>
          </a:r>
        </a:p>
        <a:p>
          <a:r>
            <a:rPr lang="en-US" sz="1100" b="1" i="0" u="none" strike="noStrike">
              <a:solidFill>
                <a:schemeClr val="dk1"/>
              </a:solidFill>
              <a:effectLst/>
              <a:latin typeface="+mn-lt"/>
              <a:ea typeface="+mn-ea"/>
              <a:cs typeface="+mn-cs"/>
            </a:rPr>
            <a:t>EBIT</a:t>
          </a:r>
          <a:r>
            <a:rPr lang="en-US" sz="1100" b="0" i="0" u="none" strike="noStrike">
              <a:solidFill>
                <a:schemeClr val="dk1"/>
              </a:solidFill>
              <a:effectLst/>
              <a:latin typeface="+mn-lt"/>
              <a:ea typeface="+mn-ea"/>
              <a:cs typeface="+mn-cs"/>
            </a:rPr>
            <a:t>: Earnings before Interest and Taxes. It is an indicator of the company's profitability. </a:t>
          </a:r>
        </a:p>
        <a:p>
          <a:endParaRPr lang="en-US" sz="1100" b="1" i="0" u="none" strike="noStrike">
            <a:solidFill>
              <a:schemeClr val="dk1"/>
            </a:solidFill>
            <a:effectLst/>
            <a:latin typeface="+mn-lt"/>
            <a:ea typeface="+mn-ea"/>
            <a:cs typeface="+mn-cs"/>
          </a:endParaRPr>
        </a:p>
        <a:p>
          <a:r>
            <a:rPr lang="en-US" sz="1100" b="1" i="0" u="none" strike="noStrike">
              <a:solidFill>
                <a:schemeClr val="dk1"/>
              </a:solidFill>
              <a:effectLst/>
              <a:latin typeface="+mn-lt"/>
              <a:ea typeface="+mn-ea"/>
              <a:cs typeface="+mn-cs"/>
            </a:rPr>
            <a:t>Beta of Asset:</a:t>
          </a:r>
          <a:r>
            <a:rPr lang="en-US" sz="1100" b="0" i="0" u="none" strike="noStrike">
              <a:solidFill>
                <a:schemeClr val="dk1"/>
              </a:solidFill>
              <a:effectLst/>
              <a:latin typeface="+mn-lt"/>
              <a:ea typeface="+mn-ea"/>
              <a:cs typeface="+mn-cs"/>
            </a:rPr>
            <a:t> It is also called unleveled beta and measures the company's market risk without Debt's impact. It represents the risk solely due to company assets, i.e., How much the company's equity contributes to its risk profile. </a:t>
          </a:r>
        </a:p>
        <a:p>
          <a:endParaRPr lang="en-US" sz="1100" b="0" i="0" u="none" strike="noStrike">
            <a:solidFill>
              <a:schemeClr val="dk1"/>
            </a:solidFill>
            <a:effectLst/>
            <a:latin typeface="+mn-lt"/>
            <a:ea typeface="+mn-ea"/>
            <a:cs typeface="+mn-cs"/>
          </a:endParaRPr>
        </a:p>
        <a:p>
          <a:r>
            <a:rPr lang="en-US" sz="1100" b="1" i="0" u="none" strike="noStrike">
              <a:solidFill>
                <a:schemeClr val="dk1"/>
              </a:solidFill>
              <a:effectLst/>
              <a:latin typeface="+mn-lt"/>
              <a:ea typeface="+mn-ea"/>
              <a:cs typeface="+mn-cs"/>
            </a:rPr>
            <a:t>Modingliani-Miller Scenarios of Interest:</a:t>
          </a:r>
        </a:p>
        <a:p>
          <a:r>
            <a:rPr lang="en-US" sz="1100" b="1" i="0" u="none" strike="noStrike">
              <a:solidFill>
                <a:schemeClr val="dk1"/>
              </a:solidFill>
              <a:effectLst/>
              <a:latin typeface="+mn-lt"/>
              <a:ea typeface="+mn-ea"/>
              <a:cs typeface="+mn-cs"/>
            </a:rPr>
            <a:t>MM1 without Taxes</a:t>
          </a:r>
          <a:r>
            <a:rPr lang="en-US" sz="1100" b="0" i="0" u="none" strike="noStrike">
              <a:solidFill>
                <a:schemeClr val="dk1"/>
              </a:solidFill>
              <a:effectLst/>
              <a:latin typeface="+mn-lt"/>
              <a:ea typeface="+mn-ea"/>
              <a:cs typeface="+mn-cs"/>
            </a:rPr>
            <a:t>: Under this scenario </a:t>
          </a:r>
        </a:p>
        <a:p>
          <a:r>
            <a:rPr lang="en-US" sz="1100" b="0" i="0" u="none" strike="noStrike">
              <a:solidFill>
                <a:schemeClr val="dk1"/>
              </a:solidFill>
              <a:effectLst/>
              <a:latin typeface="+mn-lt"/>
              <a:ea typeface="+mn-ea"/>
              <a:cs typeface="+mn-cs"/>
            </a:rPr>
            <a:t>Tax Rate = 0</a:t>
          </a:r>
        </a:p>
        <a:p>
          <a:r>
            <a:rPr lang="en-US" sz="1100" b="0" i="0" u="none" strike="noStrike">
              <a:solidFill>
                <a:schemeClr val="dk1"/>
              </a:solidFill>
              <a:effectLst/>
              <a:latin typeface="+mn-lt"/>
              <a:ea typeface="+mn-ea"/>
              <a:cs typeface="+mn-cs"/>
            </a:rPr>
            <a:t>Risk from Debt = 0</a:t>
          </a:r>
        </a:p>
        <a:p>
          <a:r>
            <a:rPr lang="en-US" sz="1100" b="0" i="0" u="none" strike="noStrike">
              <a:solidFill>
                <a:schemeClr val="dk1"/>
              </a:solidFill>
              <a:effectLst/>
              <a:latin typeface="+mn-lt"/>
              <a:ea typeface="+mn-ea"/>
              <a:cs typeface="+mn-cs"/>
            </a:rPr>
            <a:t>Financail Distress Cost = 0</a:t>
          </a:r>
        </a:p>
        <a:p>
          <a:r>
            <a:rPr lang="en-US" sz="1100" b="0" i="0" u="none" strike="noStrike">
              <a:solidFill>
                <a:schemeClr val="dk1"/>
              </a:solidFill>
              <a:effectLst/>
              <a:latin typeface="+mn-lt"/>
              <a:ea typeface="+mn-ea"/>
              <a:cs typeface="+mn-cs"/>
            </a:rPr>
            <a:t>This scenario results in the Firm's value independent of the Debt to Asset ratio. Thus every level of Debt will be optimal. </a:t>
          </a:r>
        </a:p>
        <a:p>
          <a:endParaRPr lang="en-US" sz="1100" b="0" i="0" u="none" strike="noStrike">
            <a:solidFill>
              <a:schemeClr val="dk1"/>
            </a:solidFill>
            <a:effectLst/>
            <a:latin typeface="+mn-lt"/>
            <a:ea typeface="+mn-ea"/>
            <a:cs typeface="+mn-cs"/>
          </a:endParaRPr>
        </a:p>
        <a:p>
          <a:r>
            <a:rPr lang="en-US" sz="1100" b="1" i="0" u="none" strike="noStrike">
              <a:solidFill>
                <a:schemeClr val="dk1"/>
              </a:solidFill>
              <a:effectLst/>
              <a:latin typeface="+mn-lt"/>
              <a:ea typeface="+mn-ea"/>
              <a:cs typeface="+mn-cs"/>
            </a:rPr>
            <a:t>MM1 with Taxes: </a:t>
          </a:r>
          <a:r>
            <a:rPr lang="en-US" sz="1100" b="0" i="0" u="none" strike="noStrike">
              <a:solidFill>
                <a:schemeClr val="dk1"/>
              </a:solidFill>
              <a:effectLst/>
              <a:latin typeface="+mn-lt"/>
              <a:ea typeface="+mn-ea"/>
              <a:cs typeface="+mn-cs"/>
            </a:rPr>
            <a:t>Under this scenario</a:t>
          </a:r>
        </a:p>
        <a:p>
          <a:r>
            <a:rPr lang="en-US" sz="1100" b="0" i="0" u="none" strike="noStrike">
              <a:solidFill>
                <a:schemeClr val="dk1"/>
              </a:solidFill>
              <a:effectLst/>
              <a:latin typeface="+mn-lt"/>
              <a:ea typeface="+mn-ea"/>
              <a:cs typeface="+mn-cs"/>
            </a:rPr>
            <a:t>Risk from Debt = 0</a:t>
          </a:r>
        </a:p>
        <a:p>
          <a:r>
            <a:rPr lang="en-US" sz="1100" b="0" i="0" u="none" strike="noStrike">
              <a:solidFill>
                <a:schemeClr val="dk1"/>
              </a:solidFill>
              <a:effectLst/>
              <a:latin typeface="+mn-lt"/>
              <a:ea typeface="+mn-ea"/>
              <a:cs typeface="+mn-cs"/>
            </a:rPr>
            <a:t>Financial Distress Cost = 0</a:t>
          </a:r>
        </a:p>
        <a:p>
          <a:r>
            <a:rPr lang="en-US" sz="1100" b="0" i="0" u="none" strike="noStrike">
              <a:solidFill>
                <a:schemeClr val="dk1"/>
              </a:solidFill>
              <a:effectLst/>
              <a:latin typeface="+mn-lt"/>
              <a:ea typeface="+mn-ea"/>
              <a:cs typeface="+mn-cs"/>
            </a:rPr>
            <a:t>This scenario results in the firm value is highest at the highest level of Debt. The plot shows a positive linear relationship between Debt and the Market Value of the Firm. </a:t>
          </a:r>
        </a:p>
      </xdr:txBody>
    </xdr:sp>
    <xdr:clientData/>
  </xdr:twoCellAnchor>
  <mc:AlternateContent xmlns:mc="http://schemas.openxmlformats.org/markup-compatibility/2006">
    <mc:Choice xmlns:a14="http://schemas.microsoft.com/office/drawing/2010/main" Requires="a14">
      <xdr:twoCellAnchor>
        <xdr:from>
          <xdr:col>11</xdr:col>
          <xdr:colOff>215900</xdr:colOff>
          <xdr:row>7</xdr:row>
          <xdr:rowOff>127000</xdr:rowOff>
        </xdr:from>
        <xdr:to>
          <xdr:col>13</xdr:col>
          <xdr:colOff>393700</xdr:colOff>
          <xdr:row>9</xdr:row>
          <xdr:rowOff>127000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 To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15</xdr:col>
      <xdr:colOff>296769</xdr:colOff>
      <xdr:row>6</xdr:row>
      <xdr:rowOff>7284</xdr:rowOff>
    </xdr:from>
    <xdr:to>
      <xdr:col>24</xdr:col>
      <xdr:colOff>406212</xdr:colOff>
      <xdr:row>22</xdr:row>
      <xdr:rowOff>24094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444500</xdr:colOff>
          <xdr:row>9</xdr:row>
          <xdr:rowOff>114300</xdr:rowOff>
        </xdr:from>
        <xdr:to>
          <xdr:col>2</xdr:col>
          <xdr:colOff>584200</xdr:colOff>
          <xdr:row>11</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Backup User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431800</xdr:colOff>
          <xdr:row>13</xdr:row>
          <xdr:rowOff>203200</xdr:rowOff>
        </xdr:from>
        <xdr:to>
          <xdr:col>2</xdr:col>
          <xdr:colOff>558800</xdr:colOff>
          <xdr:row>15</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MM1 Without Taxes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431800</xdr:colOff>
          <xdr:row>16</xdr:row>
          <xdr:rowOff>0</xdr:rowOff>
        </xdr:from>
        <xdr:to>
          <xdr:col>2</xdr:col>
          <xdr:colOff>558800</xdr:colOff>
          <xdr:row>17</xdr:row>
          <xdr:rowOff>139700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MM1 With Taxes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444500</xdr:colOff>
          <xdr:row>11</xdr:row>
          <xdr:rowOff>152400</xdr:rowOff>
        </xdr:from>
        <xdr:to>
          <xdr:col>2</xdr:col>
          <xdr:colOff>558800</xdr:colOff>
          <xdr:row>13</xdr:row>
          <xdr:rowOff>76200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Restore User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18</xdr:row>
          <xdr:rowOff>50800</xdr:rowOff>
        </xdr:from>
        <xdr:to>
          <xdr:col>2</xdr:col>
          <xdr:colOff>546100</xdr:colOff>
          <xdr:row>19</xdr:row>
          <xdr:rowOff>190500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Best Fit Segment </a:t>
              </a:r>
              <a:r>
                <a:rPr lang="en-US" sz="1200" b="0" i="0" u="none" strike="noStrike" baseline="0">
                  <a:solidFill>
                    <a:srgbClr val="000000"/>
                  </a:solidFill>
                  <a:latin typeface="Symbol" charset="2"/>
                  <a:cs typeface="Calibri" pitchFamily="2" charset="0"/>
                </a:rPr>
                <a:t>b</a:t>
              </a:r>
              <a:r>
                <a:rPr lang="en-US" sz="1200" b="0" i="0" u="none" strike="noStrike" baseline="-25000">
                  <a:solidFill>
                    <a:srgbClr val="000000"/>
                  </a:solidFill>
                  <a:latin typeface="Calibri" pitchFamily="2" charset="0"/>
                  <a:cs typeface="Calibri"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406400</xdr:colOff>
          <xdr:row>20</xdr:row>
          <xdr:rowOff>88900</xdr:rowOff>
        </xdr:from>
        <xdr:to>
          <xdr:col>2</xdr:col>
          <xdr:colOff>520700</xdr:colOff>
          <xdr:row>22</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2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Best Fit Segment 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406400</xdr:colOff>
          <xdr:row>22</xdr:row>
          <xdr:rowOff>139700</xdr:rowOff>
        </xdr:from>
        <xdr:to>
          <xdr:col>2</xdr:col>
          <xdr:colOff>520700</xdr:colOff>
          <xdr:row>24</xdr:row>
          <xdr:rowOff>50800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2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Optimal D/A</a:t>
              </a:r>
            </a:p>
            <a:p>
              <a:pPr algn="ctr" rtl="0">
                <a:defRPr sz="1000"/>
              </a:pPr>
              <a:r>
                <a:rPr lang="en-US" sz="1100" b="0" i="0" u="none" strike="noStrike" baseline="0">
                  <a:solidFill>
                    <a:srgbClr val="000000"/>
                  </a:solidFill>
                  <a:latin typeface="Calibri" pitchFamily="2" charset="0"/>
                  <a:cs typeface="Calibri" pitchFamily="2" charset="0"/>
                </a:rPr>
                <a:t>For All Methods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444500</xdr:colOff>
          <xdr:row>7</xdr:row>
          <xdr:rowOff>76200</xdr:rowOff>
        </xdr:from>
        <xdr:to>
          <xdr:col>2</xdr:col>
          <xdr:colOff>584200</xdr:colOff>
          <xdr:row>8</xdr:row>
          <xdr:rowOff>215900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2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Restore Factory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139700</xdr:colOff>
          <xdr:row>2</xdr:row>
          <xdr:rowOff>0</xdr:rowOff>
        </xdr:from>
        <xdr:to>
          <xdr:col>61</xdr:col>
          <xdr:colOff>0</xdr:colOff>
          <xdr:row>4</xdr:row>
          <xdr:rowOff>114300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2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 To Model</a:t>
              </a:r>
            </a:p>
          </xdr:txBody>
        </xdr:sp>
        <xdr:clientData fPrintsWithSheet="0"/>
      </xdr:twoCellAnchor>
    </mc:Choice>
    <mc:Fallback/>
  </mc:AlternateContent>
  <xdr:twoCellAnchor>
    <xdr:from>
      <xdr:col>31</xdr:col>
      <xdr:colOff>57157</xdr:colOff>
      <xdr:row>4</xdr:row>
      <xdr:rowOff>76200</xdr:rowOff>
    </xdr:from>
    <xdr:to>
      <xdr:col>38</xdr:col>
      <xdr:colOff>57151</xdr:colOff>
      <xdr:row>15</xdr:row>
      <xdr:rowOff>180975</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38</xdr:col>
      <xdr:colOff>76200</xdr:colOff>
      <xdr:row>4</xdr:row>
      <xdr:rowOff>76199</xdr:rowOff>
    </xdr:from>
    <xdr:to>
      <xdr:col>44</xdr:col>
      <xdr:colOff>571500</xdr:colOff>
      <xdr:row>15</xdr:row>
      <xdr:rowOff>200025</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47625</xdr:colOff>
      <xdr:row>18</xdr:row>
      <xdr:rowOff>104774</xdr:rowOff>
    </xdr:from>
    <xdr:to>
      <xdr:col>38</xdr:col>
      <xdr:colOff>85724</xdr:colOff>
      <xdr:row>29</xdr:row>
      <xdr:rowOff>47624</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114300</xdr:colOff>
      <xdr:row>18</xdr:row>
      <xdr:rowOff>95249</xdr:rowOff>
    </xdr:from>
    <xdr:to>
      <xdr:col>44</xdr:col>
      <xdr:colOff>571500</xdr:colOff>
      <xdr:row>29</xdr:row>
      <xdr:rowOff>38100</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71436</xdr:colOff>
      <xdr:row>32</xdr:row>
      <xdr:rowOff>85724</xdr:rowOff>
    </xdr:from>
    <xdr:to>
      <xdr:col>38</xdr:col>
      <xdr:colOff>114300</xdr:colOff>
      <xdr:row>46</xdr:row>
      <xdr:rowOff>66675</xdr:rowOff>
    </xdr:to>
    <xdr:graphicFrame macro="">
      <xdr:nvGraphicFramePr>
        <xdr:cNvPr id="9" name="Chart 8">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195262</xdr:colOff>
      <xdr:row>32</xdr:row>
      <xdr:rowOff>95248</xdr:rowOff>
    </xdr:from>
    <xdr:to>
      <xdr:col>45</xdr:col>
      <xdr:colOff>104775</xdr:colOff>
      <xdr:row>46</xdr:row>
      <xdr:rowOff>66675</xdr:rowOff>
    </xdr:to>
    <xdr:graphicFrame macro="">
      <xdr:nvGraphicFramePr>
        <xdr:cNvPr id="10" name="Chart 9">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31</xdr:col>
      <xdr:colOff>52387</xdr:colOff>
      <xdr:row>49</xdr:row>
      <xdr:rowOff>123825</xdr:rowOff>
    </xdr:from>
    <xdr:to>
      <xdr:col>38</xdr:col>
      <xdr:colOff>104775</xdr:colOff>
      <xdr:row>64</xdr:row>
      <xdr:rowOff>133350</xdr:rowOff>
    </xdr:to>
    <xdr:graphicFrame macro="">
      <xdr:nvGraphicFramePr>
        <xdr:cNvPr id="12" name="Chart 11">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38</xdr:col>
      <xdr:colOff>164042</xdr:colOff>
      <xdr:row>49</xdr:row>
      <xdr:rowOff>120650</xdr:rowOff>
    </xdr:from>
    <xdr:to>
      <xdr:col>45</xdr:col>
      <xdr:colOff>161925</xdr:colOff>
      <xdr:row>64</xdr:row>
      <xdr:rowOff>161925</xdr:rowOff>
    </xdr:to>
    <xdr:graphicFrame macro="">
      <xdr:nvGraphicFramePr>
        <xdr:cNvPr id="14" name="Chart 13">
          <a:extLst>
            <a:ext uri="{FF2B5EF4-FFF2-40B4-BE49-F238E27FC236}">
              <a16:creationId xmlns:a16="http://schemas.microsoft.com/office/drawing/2014/main" id="{00000000-0008-0000-0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101600</xdr:colOff>
          <xdr:row>25</xdr:row>
          <xdr:rowOff>88900</xdr:rowOff>
        </xdr:from>
        <xdr:to>
          <xdr:col>18</xdr:col>
          <xdr:colOff>203200</xdr:colOff>
          <xdr:row>28</xdr:row>
          <xdr:rowOff>152400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2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Debt Schedule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444500</xdr:colOff>
          <xdr:row>9</xdr:row>
          <xdr:rowOff>114300</xdr:rowOff>
        </xdr:from>
        <xdr:to>
          <xdr:col>2</xdr:col>
          <xdr:colOff>584200</xdr:colOff>
          <xdr:row>11</xdr:row>
          <xdr:rowOff>25400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2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Backup User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431800</xdr:colOff>
          <xdr:row>13</xdr:row>
          <xdr:rowOff>203200</xdr:rowOff>
        </xdr:from>
        <xdr:to>
          <xdr:col>2</xdr:col>
          <xdr:colOff>558800</xdr:colOff>
          <xdr:row>15</xdr:row>
          <xdr:rowOff>114300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MM1 Without Taxes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431800</xdr:colOff>
          <xdr:row>16</xdr:row>
          <xdr:rowOff>0</xdr:rowOff>
        </xdr:from>
        <xdr:to>
          <xdr:col>2</xdr:col>
          <xdr:colOff>558800</xdr:colOff>
          <xdr:row>17</xdr:row>
          <xdr:rowOff>139700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2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MM1 With Taxes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444500</xdr:colOff>
          <xdr:row>11</xdr:row>
          <xdr:rowOff>152400</xdr:rowOff>
        </xdr:from>
        <xdr:to>
          <xdr:col>2</xdr:col>
          <xdr:colOff>558800</xdr:colOff>
          <xdr:row>13</xdr:row>
          <xdr:rowOff>76200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200-00001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Restore User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18</xdr:row>
          <xdr:rowOff>50800</xdr:rowOff>
        </xdr:from>
        <xdr:to>
          <xdr:col>2</xdr:col>
          <xdr:colOff>546100</xdr:colOff>
          <xdr:row>19</xdr:row>
          <xdr:rowOff>190500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Best Fit Segment </a:t>
              </a:r>
              <a:r>
                <a:rPr lang="en-US" sz="1200" b="0" i="0" u="none" strike="noStrike" baseline="0">
                  <a:solidFill>
                    <a:srgbClr val="000000"/>
                  </a:solidFill>
                  <a:latin typeface="Symbol" charset="2"/>
                  <a:cs typeface="Calibri" pitchFamily="2" charset="0"/>
                </a:rPr>
                <a:t>b</a:t>
              </a:r>
              <a:r>
                <a:rPr lang="en-US" sz="1200" b="0" i="0" u="none" strike="noStrike" baseline="-25000">
                  <a:solidFill>
                    <a:srgbClr val="000000"/>
                  </a:solidFill>
                  <a:latin typeface="Calibri" pitchFamily="2" charset="0"/>
                  <a:cs typeface="Calibri"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406400</xdr:colOff>
          <xdr:row>20</xdr:row>
          <xdr:rowOff>88900</xdr:rowOff>
        </xdr:from>
        <xdr:to>
          <xdr:col>2</xdr:col>
          <xdr:colOff>520700</xdr:colOff>
          <xdr:row>22</xdr:row>
          <xdr:rowOff>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2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Best Fit Segment 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406400</xdr:colOff>
          <xdr:row>22</xdr:row>
          <xdr:rowOff>139700</xdr:rowOff>
        </xdr:from>
        <xdr:to>
          <xdr:col>2</xdr:col>
          <xdr:colOff>520700</xdr:colOff>
          <xdr:row>24</xdr:row>
          <xdr:rowOff>50800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2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Optimal D/A</a:t>
              </a:r>
            </a:p>
            <a:p>
              <a:pPr algn="ctr" rtl="0">
                <a:defRPr sz="1000"/>
              </a:pPr>
              <a:r>
                <a:rPr lang="en-US" sz="1100" b="0" i="0" u="none" strike="noStrike" baseline="0">
                  <a:solidFill>
                    <a:srgbClr val="000000"/>
                  </a:solidFill>
                  <a:latin typeface="Calibri" pitchFamily="2" charset="0"/>
                  <a:cs typeface="Calibri" pitchFamily="2" charset="0"/>
                </a:rPr>
                <a:t>For All Methods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444500</xdr:colOff>
          <xdr:row>7</xdr:row>
          <xdr:rowOff>76200</xdr:rowOff>
        </xdr:from>
        <xdr:to>
          <xdr:col>2</xdr:col>
          <xdr:colOff>584200</xdr:colOff>
          <xdr:row>8</xdr:row>
          <xdr:rowOff>215900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2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Restore Factory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393700</xdr:colOff>
          <xdr:row>29</xdr:row>
          <xdr:rowOff>25400</xdr:rowOff>
        </xdr:from>
        <xdr:to>
          <xdr:col>25</xdr:col>
          <xdr:colOff>482600</xdr:colOff>
          <xdr:row>32</xdr:row>
          <xdr:rowOff>127000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Work Area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393700</xdr:colOff>
          <xdr:row>25</xdr:row>
          <xdr:rowOff>76200</xdr:rowOff>
        </xdr:from>
        <xdr:to>
          <xdr:col>25</xdr:col>
          <xdr:colOff>482600</xdr:colOff>
          <xdr:row>28</xdr:row>
          <xdr:rowOff>139700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 To User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444500</xdr:colOff>
          <xdr:row>25</xdr:row>
          <xdr:rowOff>76200</xdr:rowOff>
        </xdr:from>
        <xdr:to>
          <xdr:col>20</xdr:col>
          <xdr:colOff>546100</xdr:colOff>
          <xdr:row>28</xdr:row>
          <xdr:rowOff>139700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2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Piecewise Linear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101600</xdr:colOff>
          <xdr:row>29</xdr:row>
          <xdr:rowOff>25400</xdr:rowOff>
        </xdr:from>
        <xdr:to>
          <xdr:col>18</xdr:col>
          <xdr:colOff>190500</xdr:colOff>
          <xdr:row>32</xdr:row>
          <xdr:rowOff>127000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2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Stepwise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444500</xdr:colOff>
          <xdr:row>28</xdr:row>
          <xdr:rowOff>190500</xdr:rowOff>
        </xdr:from>
        <xdr:to>
          <xdr:col>20</xdr:col>
          <xdr:colOff>546100</xdr:colOff>
          <xdr:row>32</xdr:row>
          <xdr:rowOff>101600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2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Best Fit Curve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139700</xdr:colOff>
          <xdr:row>7</xdr:row>
          <xdr:rowOff>0</xdr:rowOff>
        </xdr:from>
        <xdr:to>
          <xdr:col>46</xdr:col>
          <xdr:colOff>1181100</xdr:colOff>
          <xdr:row>9</xdr:row>
          <xdr:rowOff>114300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2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139700</xdr:colOff>
          <xdr:row>21</xdr:row>
          <xdr:rowOff>0</xdr:rowOff>
        </xdr:from>
        <xdr:to>
          <xdr:col>46</xdr:col>
          <xdr:colOff>1181100</xdr:colOff>
          <xdr:row>23</xdr:row>
          <xdr:rowOff>114300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139700</xdr:colOff>
          <xdr:row>37</xdr:row>
          <xdr:rowOff>0</xdr:rowOff>
        </xdr:from>
        <xdr:to>
          <xdr:col>46</xdr:col>
          <xdr:colOff>1181100</xdr:colOff>
          <xdr:row>40</xdr:row>
          <xdr:rowOff>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139700</xdr:colOff>
          <xdr:row>55</xdr:row>
          <xdr:rowOff>0</xdr:rowOff>
        </xdr:from>
        <xdr:to>
          <xdr:col>46</xdr:col>
          <xdr:colOff>1181100</xdr:colOff>
          <xdr:row>58</xdr:row>
          <xdr:rowOff>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2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 To Model</a:t>
              </a:r>
            </a:p>
          </xdr:txBody>
        </xdr:sp>
        <xdr:clientData fPrintsWithSheet="0"/>
      </xdr:twoCellAnchor>
    </mc:Choice>
    <mc:Fallback/>
  </mc:AlternateContent>
  <xdr:twoCellAnchor>
    <xdr:from>
      <xdr:col>38</xdr:col>
      <xdr:colOff>209550</xdr:colOff>
      <xdr:row>68</xdr:row>
      <xdr:rowOff>95250</xdr:rowOff>
    </xdr:from>
    <xdr:to>
      <xdr:col>45</xdr:col>
      <xdr:colOff>285750</xdr:colOff>
      <xdr:row>83</xdr:row>
      <xdr:rowOff>142875</xdr:rowOff>
    </xdr:to>
    <xdr:graphicFrame macro="">
      <xdr:nvGraphicFramePr>
        <xdr:cNvPr id="43" name="Chart 42">
          <a:extLst>
            <a:ext uri="{FF2B5EF4-FFF2-40B4-BE49-F238E27FC236}">
              <a16:creationId xmlns:a16="http://schemas.microsoft.com/office/drawing/2014/main" id="{00000000-0008-0000-02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31</xdr:col>
      <xdr:colOff>66675</xdr:colOff>
      <xdr:row>68</xdr:row>
      <xdr:rowOff>95250</xdr:rowOff>
    </xdr:from>
    <xdr:to>
      <xdr:col>38</xdr:col>
      <xdr:colOff>171450</xdr:colOff>
      <xdr:row>83</xdr:row>
      <xdr:rowOff>142875</xdr:rowOff>
    </xdr:to>
    <xdr:graphicFrame macro="">
      <xdr:nvGraphicFramePr>
        <xdr:cNvPr id="45" name="Chart 44">
          <a:extLst>
            <a:ext uri="{FF2B5EF4-FFF2-40B4-BE49-F238E27FC236}">
              <a16:creationId xmlns:a16="http://schemas.microsoft.com/office/drawing/2014/main" id="{00000000-0008-0000-02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46</xdr:col>
          <xdr:colOff>139700</xdr:colOff>
          <xdr:row>72</xdr:row>
          <xdr:rowOff>0</xdr:rowOff>
        </xdr:from>
        <xdr:to>
          <xdr:col>46</xdr:col>
          <xdr:colOff>1181100</xdr:colOff>
          <xdr:row>75</xdr:row>
          <xdr:rowOff>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2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114300</xdr:colOff>
          <xdr:row>27</xdr:row>
          <xdr:rowOff>0</xdr:rowOff>
        </xdr:from>
        <xdr:to>
          <xdr:col>23</xdr:col>
          <xdr:colOff>215900</xdr:colOff>
          <xdr:row>30</xdr:row>
          <xdr:rowOff>114300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2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Go To Best Fit Segments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92</xdr:col>
          <xdr:colOff>139700</xdr:colOff>
          <xdr:row>3</xdr:row>
          <xdr:rowOff>0</xdr:rowOff>
        </xdr:from>
        <xdr:to>
          <xdr:col>94</xdr:col>
          <xdr:colOff>0</xdr:colOff>
          <xdr:row>5</xdr:row>
          <xdr:rowOff>114300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2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Back To Model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drawing" Target="../drawings/drawing2.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customProperty" Target="../customProperty1.bin"/><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omments" Target="../comments1.xml"/><Relationship Id="rId8"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AE209-CCD5-4754-B9AA-42B967F32910}">
  <sheetPr codeName="Sheet4"/>
  <dimension ref="A1:N10"/>
  <sheetViews>
    <sheetView showGridLines="0" tabSelected="1" zoomScaleNormal="100" workbookViewId="0">
      <selection sqref="A1:J2"/>
    </sheetView>
  </sheetViews>
  <sheetFormatPr baseColWidth="10" defaultColWidth="8.83203125" defaultRowHeight="15"/>
  <sheetData>
    <row r="1" spans="1:14">
      <c r="A1" s="88" t="s">
        <v>63</v>
      </c>
      <c r="B1" s="88"/>
      <c r="C1" s="88"/>
      <c r="D1" s="88"/>
      <c r="E1" s="88"/>
      <c r="F1" s="88"/>
      <c r="G1" s="88"/>
      <c r="H1" s="88"/>
      <c r="I1" s="88"/>
      <c r="J1" s="88"/>
    </row>
    <row r="2" spans="1:14">
      <c r="A2" s="88"/>
      <c r="B2" s="88"/>
      <c r="C2" s="88"/>
      <c r="D2" s="88"/>
      <c r="E2" s="88"/>
      <c r="F2" s="88"/>
      <c r="G2" s="88"/>
      <c r="H2" s="88"/>
      <c r="I2" s="88"/>
      <c r="J2" s="88"/>
    </row>
    <row r="6" spans="1:14" ht="16" thickBot="1"/>
    <row r="7" spans="1:14" ht="16" thickBot="1">
      <c r="L7" s="89" t="s">
        <v>64</v>
      </c>
      <c r="M7" s="90"/>
      <c r="N7" s="91"/>
    </row>
    <row r="8" spans="1:14">
      <c r="L8" s="59"/>
      <c r="N8" s="60"/>
    </row>
    <row r="9" spans="1:14">
      <c r="L9" s="59"/>
      <c r="N9" s="60"/>
    </row>
    <row r="10" spans="1:14" ht="16" thickBot="1">
      <c r="L10" s="61"/>
      <c r="M10" s="62"/>
      <c r="N10" s="63"/>
    </row>
  </sheetData>
  <mergeCells count="2">
    <mergeCell ref="A1:J2"/>
    <mergeCell ref="L7:N7"/>
  </mergeCells>
  <phoneticPr fontId="2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5" r:id="rId3" name="Button 3">
              <controlPr defaultSize="0" print="0" autoFill="0" autoPict="0" macro="[0]!GoTo_Model">
                <anchor moveWithCells="1" sizeWithCells="1">
                  <from>
                    <xdr:col>11</xdr:col>
                    <xdr:colOff>215900</xdr:colOff>
                    <xdr:row>7</xdr:row>
                    <xdr:rowOff>127000</xdr:rowOff>
                  </from>
                  <to>
                    <xdr:col>13</xdr:col>
                    <xdr:colOff>393700</xdr:colOff>
                    <xdr:row>9</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U69"/>
  <sheetViews>
    <sheetView showGridLines="0" zoomScaleNormal="100" workbookViewId="0">
      <selection sqref="A1:B1"/>
    </sheetView>
  </sheetViews>
  <sheetFormatPr baseColWidth="10" defaultColWidth="8.83203125" defaultRowHeight="15"/>
  <cols>
    <col min="1" max="3" width="12.6640625" customWidth="1"/>
    <col min="4" max="4" width="11" bestFit="1" customWidth="1"/>
    <col min="6" max="6" width="12.1640625" customWidth="1"/>
    <col min="10" max="10" width="8" customWidth="1"/>
    <col min="28" max="31" width="18.83203125" customWidth="1"/>
    <col min="47" max="47" width="20.6640625" customWidth="1"/>
    <col min="48" max="50" width="26.5" customWidth="1"/>
    <col min="52" max="52" width="4.83203125" customWidth="1"/>
    <col min="53" max="53" width="15.6640625" bestFit="1" customWidth="1"/>
    <col min="54" max="54" width="13" bestFit="1" customWidth="1"/>
    <col min="56" max="56" width="9.33203125" bestFit="1" customWidth="1"/>
    <col min="57" max="57" width="10.6640625" bestFit="1" customWidth="1"/>
    <col min="58" max="58" width="12" bestFit="1" customWidth="1"/>
    <col min="68" max="68" width="9.6640625" customWidth="1"/>
    <col min="73" max="73" width="9.6640625" customWidth="1"/>
    <col min="76" max="77" width="12.6640625" customWidth="1"/>
    <col min="78" max="78" width="13" customWidth="1"/>
    <col min="79" max="79" width="5" customWidth="1"/>
    <col min="80" max="82" width="13.1640625" customWidth="1"/>
    <col min="83" max="83" width="10.5" customWidth="1"/>
  </cols>
  <sheetData>
    <row r="1" spans="1:99" ht="18" customHeight="1" thickBot="1">
      <c r="A1" s="107" t="s">
        <v>6</v>
      </c>
      <c r="B1" s="107"/>
      <c r="C1" s="5">
        <v>0.01</v>
      </c>
      <c r="G1" s="116" t="s">
        <v>52</v>
      </c>
      <c r="H1" s="116"/>
      <c r="I1" s="116"/>
      <c r="J1" s="116"/>
      <c r="K1" s="116"/>
      <c r="BA1" s="121" t="s">
        <v>51</v>
      </c>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row>
    <row r="2" spans="1:99" ht="18" customHeight="1" thickTop="1" thickBot="1">
      <c r="A2" s="107" t="s">
        <v>0</v>
      </c>
      <c r="B2" s="107"/>
      <c r="C2" s="5">
        <v>0.06</v>
      </c>
      <c r="G2" s="116"/>
      <c r="H2" s="116"/>
      <c r="I2" s="116"/>
      <c r="J2" s="116"/>
      <c r="K2" s="116"/>
      <c r="AD2" s="72"/>
      <c r="AE2" s="72"/>
      <c r="AF2" s="73" t="s">
        <v>73</v>
      </c>
      <c r="AG2" s="73"/>
      <c r="AH2" s="73"/>
      <c r="AI2" s="73"/>
      <c r="AJ2" s="73"/>
      <c r="AK2" s="73"/>
      <c r="AL2" s="73"/>
      <c r="AM2" s="73"/>
      <c r="AN2" s="73"/>
      <c r="AO2" s="73"/>
      <c r="AP2" s="73"/>
      <c r="AQ2" s="73"/>
      <c r="AR2" s="73"/>
      <c r="AS2" s="73"/>
    </row>
    <row r="3" spans="1:99" ht="18" customHeight="1" thickTop="1">
      <c r="A3" s="107" t="s">
        <v>1</v>
      </c>
      <c r="B3" s="107"/>
      <c r="C3" s="5">
        <v>0.35</v>
      </c>
      <c r="BM3" s="35" t="s">
        <v>47</v>
      </c>
      <c r="BN3" s="19">
        <f>IF(D32&lt;=D17,BM8+BN8*D32+BO8*D32^2+BP8*D32^3,BM11+BN11*D32+BO11*D32^2+BP11*D32^3)</f>
        <v>8.3944810144515075E-2</v>
      </c>
      <c r="BR3" s="35" t="s">
        <v>21</v>
      </c>
      <c r="BS3" s="18">
        <f>IF(D32&lt;=D17,BR8+BS8*D32+BT8*D32^2+BU8*D32^3,BR11+BS11*D32+BT11*D32^2+BU11*D32^3)</f>
        <v>2.9813361021872333E-3</v>
      </c>
      <c r="BX3" s="92" t="s">
        <v>49</v>
      </c>
      <c r="BY3" s="92"/>
      <c r="BZ3" s="92"/>
      <c r="CB3" s="92" t="s">
        <v>50</v>
      </c>
      <c r="CC3" s="92"/>
      <c r="CD3" s="92"/>
      <c r="CI3" s="118" t="s">
        <v>26</v>
      </c>
      <c r="CJ3" s="119"/>
      <c r="CK3" s="120"/>
      <c r="CL3" s="79"/>
    </row>
    <row r="4" spans="1:99" ht="18" customHeight="1">
      <c r="A4" s="107" t="s">
        <v>2</v>
      </c>
      <c r="B4" s="107"/>
      <c r="C4" s="6">
        <v>20</v>
      </c>
      <c r="AG4" s="92" t="s">
        <v>61</v>
      </c>
      <c r="AH4" s="92"/>
      <c r="AI4" s="92"/>
      <c r="AJ4" s="92"/>
      <c r="AK4" s="92"/>
      <c r="AL4" s="92"/>
      <c r="AM4" s="92"/>
      <c r="AN4" s="92"/>
      <c r="AO4" s="92"/>
      <c r="AP4" s="92"/>
      <c r="AQ4" s="92"/>
      <c r="AR4" s="92"/>
      <c r="CI4" s="80" t="s">
        <v>3</v>
      </c>
      <c r="CJ4" s="78" t="s">
        <v>5</v>
      </c>
      <c r="CK4" s="81" t="s">
        <v>21</v>
      </c>
    </row>
    <row r="5" spans="1:99" ht="18" customHeight="1">
      <c r="A5" s="107" t="s">
        <v>7</v>
      </c>
      <c r="B5" s="107"/>
      <c r="C5" s="11">
        <v>1.5</v>
      </c>
      <c r="BM5" s="96" t="s">
        <v>45</v>
      </c>
      <c r="BN5" s="96"/>
      <c r="BO5" s="96"/>
      <c r="BP5" s="96"/>
      <c r="BR5" s="96" t="s">
        <v>45</v>
      </c>
      <c r="BS5" s="96"/>
      <c r="BT5" s="96"/>
      <c r="BU5" s="96"/>
      <c r="BX5" s="107" t="s">
        <v>6</v>
      </c>
      <c r="BY5" s="107"/>
      <c r="BZ5" s="5">
        <v>0.01</v>
      </c>
      <c r="CB5" s="107" t="s">
        <v>6</v>
      </c>
      <c r="CC5" s="107"/>
      <c r="CD5" s="5">
        <v>0.01</v>
      </c>
      <c r="CI5" s="82">
        <f>D10</f>
        <v>0</v>
      </c>
      <c r="CJ5" s="34">
        <f>E10</f>
        <v>0</v>
      </c>
      <c r="CK5" s="74">
        <f>F10</f>
        <v>0</v>
      </c>
    </row>
    <row r="6" spans="1:99" ht="18" customHeight="1">
      <c r="A6" s="107" t="s">
        <v>55</v>
      </c>
      <c r="B6" s="107"/>
      <c r="C6" s="51" t="s">
        <v>56</v>
      </c>
      <c r="G6" s="115" t="s">
        <v>53</v>
      </c>
      <c r="H6" s="115"/>
      <c r="I6" s="115"/>
      <c r="J6" s="115"/>
      <c r="K6" s="115"/>
      <c r="BA6" s="21" t="s">
        <v>18</v>
      </c>
      <c r="BD6" s="96" t="s">
        <v>22</v>
      </c>
      <c r="BE6" s="96"/>
      <c r="BF6" s="96"/>
      <c r="BM6" s="105" t="str">
        <f>CONCATENATE("Coefficients D/A ≤ ",D17)</f>
        <v>Coefficients D/A ≤ 0.35</v>
      </c>
      <c r="BN6" s="105"/>
      <c r="BO6" s="105"/>
      <c r="BP6" s="105"/>
      <c r="BR6" s="105" t="str">
        <f>CONCATENATE("Coefficients D/A ≤ ",D17)</f>
        <v>Coefficients D/A ≤ 0.35</v>
      </c>
      <c r="BS6" s="105"/>
      <c r="BT6" s="105"/>
      <c r="BU6" s="105"/>
      <c r="BX6" s="107" t="s">
        <v>0</v>
      </c>
      <c r="BY6" s="107"/>
      <c r="BZ6" s="5">
        <v>0.06</v>
      </c>
      <c r="CB6" s="107" t="s">
        <v>0</v>
      </c>
      <c r="CC6" s="107"/>
      <c r="CD6" s="5">
        <v>0.06</v>
      </c>
      <c r="CI6" s="82">
        <f>D11</f>
        <v>0.05</v>
      </c>
      <c r="CJ6" s="34">
        <f>E10</f>
        <v>0</v>
      </c>
      <c r="CK6" s="74">
        <f>F10</f>
        <v>0</v>
      </c>
    </row>
    <row r="7" spans="1:99" ht="18" customHeight="1">
      <c r="D7" s="106" t="s">
        <v>3</v>
      </c>
      <c r="E7" s="112" t="s">
        <v>62</v>
      </c>
      <c r="F7" s="97" t="s">
        <v>58</v>
      </c>
      <c r="G7" s="108" t="s">
        <v>9</v>
      </c>
      <c r="H7" s="108" t="s">
        <v>14</v>
      </c>
      <c r="I7" s="111" t="s">
        <v>15</v>
      </c>
      <c r="J7" s="108" t="s">
        <v>16</v>
      </c>
      <c r="K7" s="108" t="s">
        <v>10</v>
      </c>
      <c r="L7" s="108" t="s">
        <v>11</v>
      </c>
      <c r="M7" s="108" t="s">
        <v>12</v>
      </c>
      <c r="N7" s="108" t="s">
        <v>8</v>
      </c>
      <c r="O7" s="108" t="s">
        <v>13</v>
      </c>
      <c r="BA7" s="20">
        <f ca="1">MATCH(MAX(BA10:BA24),BA10:BA24,0)</f>
        <v>4</v>
      </c>
      <c r="BD7" s="25" t="s">
        <v>3</v>
      </c>
      <c r="BE7" s="26" t="s">
        <v>20</v>
      </c>
      <c r="BF7" s="25" t="s">
        <v>21</v>
      </c>
      <c r="BM7" s="21" t="s">
        <v>34</v>
      </c>
      <c r="BN7" s="21" t="s">
        <v>35</v>
      </c>
      <c r="BO7" s="21" t="s">
        <v>36</v>
      </c>
      <c r="BP7" s="21" t="s">
        <v>37</v>
      </c>
      <c r="BR7" s="21" t="s">
        <v>34</v>
      </c>
      <c r="BS7" s="21" t="s">
        <v>35</v>
      </c>
      <c r="BT7" s="21" t="s">
        <v>36</v>
      </c>
      <c r="BU7" s="21" t="s">
        <v>37</v>
      </c>
      <c r="BX7" s="107" t="s">
        <v>1</v>
      </c>
      <c r="BY7" s="107"/>
      <c r="BZ7" s="5">
        <v>0.35</v>
      </c>
      <c r="CB7" s="107" t="s">
        <v>1</v>
      </c>
      <c r="CC7" s="107"/>
      <c r="CD7" s="5">
        <v>0.35</v>
      </c>
      <c r="CI7" s="82">
        <f>D11</f>
        <v>0.05</v>
      </c>
      <c r="CJ7" s="34">
        <f>E11</f>
        <v>0</v>
      </c>
      <c r="CK7" s="74">
        <f>F11</f>
        <v>0</v>
      </c>
    </row>
    <row r="8" spans="1:99" ht="18" customHeight="1">
      <c r="D8" s="100"/>
      <c r="E8" s="100"/>
      <c r="F8" s="98"/>
      <c r="G8" s="109"/>
      <c r="H8" s="109"/>
      <c r="I8" s="109"/>
      <c r="J8" s="109"/>
      <c r="K8" s="109"/>
      <c r="L8" s="109"/>
      <c r="M8" s="109"/>
      <c r="N8" s="109"/>
      <c r="O8" s="109"/>
      <c r="BD8" s="22" cm="1">
        <f t="array" ref="BD8">MAX(IF((D10:D24)&lt;=D29,D10:D24,""))</f>
        <v>0.15</v>
      </c>
      <c r="BE8" s="24">
        <f>VLOOKUP(BD8,D10:F24,2)</f>
        <v>6.5000000000000002E-2</v>
      </c>
      <c r="BF8" s="18">
        <f>VLOOKUP(BD8,D10:F24,3)</f>
        <v>2E-3</v>
      </c>
      <c r="BM8" s="19">
        <v>2.7934687740456375E-4</v>
      </c>
      <c r="BN8" s="19">
        <v>0.37822951729674381</v>
      </c>
      <c r="BO8" s="19">
        <v>0.18718956278543392</v>
      </c>
      <c r="BP8" s="19">
        <v>2.2644085697761724</v>
      </c>
      <c r="BR8" s="19">
        <v>8.6642606453845466E-4</v>
      </c>
      <c r="BS8" s="19">
        <v>-2.0757572593855127E-2</v>
      </c>
      <c r="BT8" s="19">
        <v>0.14974223634641973</v>
      </c>
      <c r="BU8" s="19">
        <v>0.22260135957670737</v>
      </c>
      <c r="BX8" s="107" t="s">
        <v>2</v>
      </c>
      <c r="BY8" s="107"/>
      <c r="BZ8" s="6">
        <v>20</v>
      </c>
      <c r="CB8" s="107" t="s">
        <v>2</v>
      </c>
      <c r="CC8" s="107"/>
      <c r="CD8" s="6">
        <v>20</v>
      </c>
      <c r="CI8" s="82">
        <f>D12</f>
        <v>0.1</v>
      </c>
      <c r="CJ8" s="34">
        <f>E11</f>
        <v>0</v>
      </c>
      <c r="CK8" s="74">
        <f>F11</f>
        <v>0</v>
      </c>
    </row>
    <row r="9" spans="1:99" ht="18" customHeight="1">
      <c r="D9" s="101"/>
      <c r="E9" s="101"/>
      <c r="F9" s="52" t="s">
        <v>59</v>
      </c>
      <c r="G9" s="110"/>
      <c r="H9" s="110"/>
      <c r="I9" s="110"/>
      <c r="J9" s="110"/>
      <c r="K9" s="110"/>
      <c r="L9" s="110"/>
      <c r="M9" s="110"/>
      <c r="N9" s="110"/>
      <c r="O9" s="110"/>
      <c r="BA9" s="21" t="s">
        <v>17</v>
      </c>
      <c r="BD9" s="22" cm="1">
        <f t="array" ref="BD9">MIN(IF((D10:D24)&gt;D29,D10:D24,""))</f>
        <v>0.2</v>
      </c>
      <c r="BE9" s="24">
        <f>VLOOKUP(BD9,D10:F24,2)</f>
        <v>8.4999999999999992E-2</v>
      </c>
      <c r="BF9" s="18">
        <f>VLOOKUP(BD9,D10:F24,3)</f>
        <v>5.4999999999999997E-3</v>
      </c>
      <c r="BM9" s="105" t="str">
        <f>CONCATENATE("Coefficients D/A &gt; ",D17)</f>
        <v>Coefficients D/A &gt; 0.35</v>
      </c>
      <c r="BN9" s="105"/>
      <c r="BO9" s="105"/>
      <c r="BP9" s="105"/>
      <c r="BR9" s="105" t="str">
        <f>CONCATENATE("Coefficients D/A &gt; ",D17)</f>
        <v>Coefficients D/A &gt; 0.35</v>
      </c>
      <c r="BS9" s="105"/>
      <c r="BT9" s="105"/>
      <c r="BU9" s="105"/>
      <c r="BX9" s="107" t="s">
        <v>7</v>
      </c>
      <c r="BY9" s="107"/>
      <c r="BZ9" s="11">
        <v>1.5</v>
      </c>
      <c r="CB9" s="107" t="s">
        <v>7</v>
      </c>
      <c r="CC9" s="107"/>
      <c r="CD9" s="11">
        <v>2</v>
      </c>
      <c r="CI9" s="82">
        <f>D12</f>
        <v>0.1</v>
      </c>
      <c r="CJ9" s="34">
        <f>E12</f>
        <v>0.03</v>
      </c>
      <c r="CK9" s="74">
        <f>F12</f>
        <v>0</v>
      </c>
    </row>
    <row r="10" spans="1:99" ht="18" customHeight="1">
      <c r="D10" s="7">
        <v>0</v>
      </c>
      <c r="E10" s="8">
        <v>0</v>
      </c>
      <c r="F10" s="13">
        <v>0</v>
      </c>
      <c r="G10" s="15">
        <f t="shared" ref="G10:G15" ca="1" si="0">D10*N10</f>
        <v>0</v>
      </c>
      <c r="H10" s="16">
        <f t="shared" ref="H10:H15" si="1">$C$1+E10*$C$2</f>
        <v>0.01</v>
      </c>
      <c r="I10" s="17">
        <f t="shared" ref="I10:I15" si="2">$C$5+($C$5-E10)*(1-$C$3)*(D10/(1-D10))</f>
        <v>1.5</v>
      </c>
      <c r="J10" s="18">
        <f t="shared" ref="J10:J15" si="3">$C$1+I10*$C$2</f>
        <v>9.9999999999999992E-2</v>
      </c>
      <c r="K10" s="15">
        <f ca="1">IF($C$6=$BB$31,$C$4-(IF($F$9=$BB$34,F10*N10,F10*$C$4))-D10*N10*H10, $C$4-(IF($F$9=$BB$34,F10*N10,F10*$C$4)))</f>
        <v>20</v>
      </c>
      <c r="L10" s="15">
        <f t="shared" ref="L10:L15" ca="1" si="4">K10*(1-$C$3)</f>
        <v>13</v>
      </c>
      <c r="M10" s="15">
        <f t="shared" ref="M10:M14" ca="1" si="5">L10/J10</f>
        <v>130</v>
      </c>
      <c r="N10" s="15">
        <f ca="1">IFERROR(G10+M10,$C$4/$C$1)</f>
        <v>130</v>
      </c>
      <c r="O10" s="16">
        <f>IF($F$9=$BB$34,J10*(1-D10)+H10*(1-$C$3)*D10+F10*(1-$C$3),J10*(1-D10)+H10*(1-$C$3)*D10+F10*$C$4/N10*(1-$C$3))</f>
        <v>9.9999999999999992E-2</v>
      </c>
      <c r="BA10" s="15">
        <f ca="1">ROUND(N10,2)</f>
        <v>130</v>
      </c>
      <c r="BM10" s="21" t="s">
        <v>38</v>
      </c>
      <c r="BN10" s="21" t="s">
        <v>39</v>
      </c>
      <c r="BO10" s="21" t="s">
        <v>40</v>
      </c>
      <c r="BP10" s="21" t="s">
        <v>41</v>
      </c>
      <c r="BR10" s="21" t="s">
        <v>38</v>
      </c>
      <c r="BS10" s="21" t="s">
        <v>39</v>
      </c>
      <c r="BT10" s="21" t="s">
        <v>40</v>
      </c>
      <c r="BU10" s="21" t="s">
        <v>41</v>
      </c>
      <c r="BX10" s="107" t="s">
        <v>55</v>
      </c>
      <c r="BY10" s="107"/>
      <c r="BZ10" s="53" t="s">
        <v>56</v>
      </c>
      <c r="CB10" s="107" t="s">
        <v>55</v>
      </c>
      <c r="CC10" s="107"/>
      <c r="CD10" s="53" t="s">
        <v>56</v>
      </c>
      <c r="CI10" s="82">
        <f>D13</f>
        <v>0.15</v>
      </c>
      <c r="CJ10" s="34">
        <f>E12</f>
        <v>0.03</v>
      </c>
      <c r="CK10" s="74">
        <f>F12</f>
        <v>0</v>
      </c>
    </row>
    <row r="11" spans="1:99" ht="18" customHeight="1">
      <c r="D11" s="1">
        <v>0.05</v>
      </c>
      <c r="E11" s="2">
        <v>0</v>
      </c>
      <c r="F11" s="13">
        <v>0</v>
      </c>
      <c r="G11" s="15">
        <f t="shared" ca="1" si="0"/>
        <v>6.6157760814249373</v>
      </c>
      <c r="H11" s="16">
        <f t="shared" si="1"/>
        <v>0.01</v>
      </c>
      <c r="I11" s="17">
        <f t="shared" si="2"/>
        <v>1.5513157894736842</v>
      </c>
      <c r="J11" s="18">
        <f t="shared" si="3"/>
        <v>0.10307894736842105</v>
      </c>
      <c r="K11" s="15">
        <f ca="1">IF($C$6=$BB$31,$C$4-(IF($F$9=$BB$34,F11*N11,F11*$C$4))-D11*N11*H11, $C$4-(IF($F$9=$BB$34,F11*N11,F11*$C$4)))</f>
        <v>19.933842239185751</v>
      </c>
      <c r="L11" s="15">
        <f t="shared" ca="1" si="4"/>
        <v>12.956997455470738</v>
      </c>
      <c r="M11" s="15">
        <f t="shared" ca="1" si="5"/>
        <v>125.6997455470738</v>
      </c>
      <c r="N11" s="15">
        <f t="shared" ref="N11:N14" ca="1" si="6">IFERROR(G11+M11,$C$4/$C$1)</f>
        <v>132.31552162849874</v>
      </c>
      <c r="O11" s="16">
        <f t="shared" ref="O11:O24" si="7">IF($F$9=$BB$34,J11*(1-D11)+H11*(1-$C$3)*D11+F11*(1-$C$3),J11*(1-D11)+H11*(1-$C$3)*D11+F11*$C$4/N11*(1-$C$3))</f>
        <v>9.824999999999999E-2</v>
      </c>
      <c r="BA11" s="15">
        <f t="shared" ref="BA11:BA24" ca="1" si="8">ROUND(N11,2)</f>
        <v>132.32</v>
      </c>
      <c r="BM11" s="19">
        <v>0.19232277579401905</v>
      </c>
      <c r="BN11" s="19">
        <v>-1.2678570517196692</v>
      </c>
      <c r="BO11" s="19">
        <v>4.8902940650782751</v>
      </c>
      <c r="BP11" s="19">
        <v>-2.2147385762432963</v>
      </c>
      <c r="BR11" s="19">
        <v>6.7681265075604053E-3</v>
      </c>
      <c r="BS11" s="19">
        <v>-7.1343546877607467E-2</v>
      </c>
      <c r="BT11" s="19">
        <v>0.29427354669324907</v>
      </c>
      <c r="BU11" s="19">
        <v>8.4952490625262958E-2</v>
      </c>
      <c r="BX11" s="106" t="s">
        <v>3</v>
      </c>
      <c r="BY11" s="99" t="s">
        <v>5</v>
      </c>
      <c r="BZ11" s="97" t="s">
        <v>58</v>
      </c>
      <c r="CB11" s="106" t="s">
        <v>3</v>
      </c>
      <c r="CC11" s="99" t="s">
        <v>5</v>
      </c>
      <c r="CD11" s="97" t="s">
        <v>58</v>
      </c>
      <c r="CI11" s="82">
        <f>D13</f>
        <v>0.15</v>
      </c>
      <c r="CJ11" s="34">
        <f>E13</f>
        <v>6.5000000000000002E-2</v>
      </c>
      <c r="CK11" s="74">
        <f>F13</f>
        <v>2E-3</v>
      </c>
    </row>
    <row r="12" spans="1:99" ht="18" customHeight="1" thickBot="1">
      <c r="D12" s="1">
        <v>0.1</v>
      </c>
      <c r="E12" s="2">
        <v>0.03</v>
      </c>
      <c r="F12" s="13">
        <v>0</v>
      </c>
      <c r="G12" s="15">
        <f t="shared" ca="1" si="0"/>
        <v>13.471502590673579</v>
      </c>
      <c r="H12" s="16">
        <f t="shared" si="1"/>
        <v>1.18E-2</v>
      </c>
      <c r="I12" s="17">
        <f t="shared" si="2"/>
        <v>1.6061666666666667</v>
      </c>
      <c r="J12" s="18">
        <f t="shared" si="3"/>
        <v>0.10636999999999999</v>
      </c>
      <c r="K12" s="15">
        <f t="shared" ref="K12:K24" ca="1" si="9">IF($C$6=$BB$31,$C$4-(IF($F$9=$BB$34,F12*N12,F12*$C$4))-D12*N12*H12, $C$4-(IF($F$9=$BB$34,F12*N12,F12*$C$4)))</f>
        <v>19.841036269430052</v>
      </c>
      <c r="L12" s="15">
        <f t="shared" ca="1" si="4"/>
        <v>12.896673575129535</v>
      </c>
      <c r="M12" s="15">
        <f t="shared" ca="1" si="5"/>
        <v>121.24352331606219</v>
      </c>
      <c r="N12" s="15">
        <f t="shared" ca="1" si="6"/>
        <v>134.71502590673578</v>
      </c>
      <c r="O12" s="16">
        <f t="shared" si="7"/>
        <v>9.6500000000000002E-2</v>
      </c>
      <c r="BA12" s="15">
        <f t="shared" ca="1" si="8"/>
        <v>134.72</v>
      </c>
      <c r="BX12" s="100"/>
      <c r="BY12" s="100"/>
      <c r="BZ12" s="98"/>
      <c r="CB12" s="100"/>
      <c r="CC12" s="100"/>
      <c r="CD12" s="98"/>
      <c r="CI12" s="82">
        <f>D14</f>
        <v>0.2</v>
      </c>
      <c r="CJ12" s="34">
        <f>E13</f>
        <v>6.5000000000000002E-2</v>
      </c>
      <c r="CK12" s="74">
        <f>F13</f>
        <v>2E-3</v>
      </c>
      <c r="CN12" s="117" t="s">
        <v>33</v>
      </c>
      <c r="CO12" s="117"/>
      <c r="CP12" s="117"/>
      <c r="CQ12" s="117"/>
      <c r="CS12" s="96" t="s">
        <v>75</v>
      </c>
      <c r="CT12" s="96"/>
      <c r="CU12" s="96"/>
    </row>
    <row r="13" spans="1:99" ht="18" customHeight="1">
      <c r="D13" s="1">
        <v>0.15</v>
      </c>
      <c r="E13" s="2">
        <v>6.5000000000000002E-2</v>
      </c>
      <c r="F13" s="13">
        <v>2E-3</v>
      </c>
      <c r="G13" s="15">
        <f t="shared" ca="1" si="0"/>
        <v>20.301926080166577</v>
      </c>
      <c r="H13" s="16">
        <f t="shared" si="1"/>
        <v>1.3899999999999999E-2</v>
      </c>
      <c r="I13" s="17">
        <f t="shared" si="2"/>
        <v>1.6646029411764707</v>
      </c>
      <c r="J13" s="18">
        <f t="shared" si="3"/>
        <v>0.10987617647058823</v>
      </c>
      <c r="K13" s="15">
        <f t="shared" ca="1" si="9"/>
        <v>19.447110879750131</v>
      </c>
      <c r="L13" s="15">
        <f t="shared" ca="1" si="4"/>
        <v>12.640622071837585</v>
      </c>
      <c r="M13" s="15">
        <f t="shared" ca="1" si="5"/>
        <v>115.04424778761063</v>
      </c>
      <c r="N13" s="15">
        <f t="shared" ca="1" si="6"/>
        <v>135.3461738677772</v>
      </c>
      <c r="O13" s="16">
        <f>IF($F$9=$BB$34,J13*(1-D13)+H13*(1-$C$3)*D13+F13*(1-$C$3),J13*(1-D13)+H13*(1-$C$3)*D13+F13*$C$4/N13*(1-$C$3))</f>
        <v>9.6049999999999983E-2</v>
      </c>
      <c r="BA13" s="15">
        <f t="shared" ca="1" si="8"/>
        <v>135.35</v>
      </c>
      <c r="BX13" s="101"/>
      <c r="BY13" s="101"/>
      <c r="BZ13" s="52" t="s">
        <v>59</v>
      </c>
      <c r="CB13" s="101"/>
      <c r="CC13" s="101"/>
      <c r="CD13" s="52" t="s">
        <v>59</v>
      </c>
      <c r="CI13" s="82">
        <f>D14</f>
        <v>0.2</v>
      </c>
      <c r="CJ13" s="34">
        <f>E14</f>
        <v>8.4999999999999992E-2</v>
      </c>
      <c r="CK13" s="74">
        <f>F14</f>
        <v>5.4999999999999997E-3</v>
      </c>
      <c r="CN13" s="64" t="s">
        <v>3</v>
      </c>
      <c r="CO13" s="65" t="s">
        <v>5</v>
      </c>
      <c r="CP13" s="64" t="s">
        <v>3</v>
      </c>
      <c r="CQ13" s="71" t="s">
        <v>21</v>
      </c>
      <c r="CS13" s="58" t="s">
        <v>76</v>
      </c>
      <c r="CT13" s="94" t="s">
        <v>77</v>
      </c>
      <c r="CU13" s="95"/>
    </row>
    <row r="14" spans="1:99" ht="18" customHeight="1">
      <c r="D14" s="1">
        <v>0.2</v>
      </c>
      <c r="E14" s="2">
        <v>8.4999999999999992E-2</v>
      </c>
      <c r="F14" s="13">
        <v>5.4999999999999997E-3</v>
      </c>
      <c r="G14" s="15">
        <f ca="1">D14*N14</f>
        <v>26.922081283976183</v>
      </c>
      <c r="H14" s="16">
        <f t="shared" si="1"/>
        <v>1.5099999999999999E-2</v>
      </c>
      <c r="I14" s="17">
        <f t="shared" si="2"/>
        <v>1.7299375000000001</v>
      </c>
      <c r="J14" s="18">
        <f t="shared" si="3"/>
        <v>0.11379625</v>
      </c>
      <c r="K14" s="15">
        <f t="shared" ca="1" si="9"/>
        <v>18.853119337302612</v>
      </c>
      <c r="L14" s="15">
        <f ca="1">K14*(1-$C$3)</f>
        <v>12.254527569246699</v>
      </c>
      <c r="M14" s="15">
        <f t="shared" ca="1" si="5"/>
        <v>107.68832513590473</v>
      </c>
      <c r="N14" s="15">
        <f t="shared" ca="1" si="6"/>
        <v>134.61040641988092</v>
      </c>
      <c r="O14" s="16">
        <f t="shared" si="7"/>
        <v>9.6575000000000008E-2</v>
      </c>
      <c r="AB14" s="10"/>
      <c r="BA14" s="15">
        <f t="shared" ca="1" si="8"/>
        <v>134.61000000000001</v>
      </c>
      <c r="BD14" s="96" t="s">
        <v>48</v>
      </c>
      <c r="BE14" s="96"/>
      <c r="BF14" s="96"/>
      <c r="BM14" s="96" t="s">
        <v>42</v>
      </c>
      <c r="BN14" s="96"/>
      <c r="BR14" s="96" t="s">
        <v>42</v>
      </c>
      <c r="BS14" s="96"/>
      <c r="BX14" s="7">
        <v>0</v>
      </c>
      <c r="BY14" s="8">
        <v>0</v>
      </c>
      <c r="BZ14" s="13">
        <v>0</v>
      </c>
      <c r="CB14" s="7">
        <v>0</v>
      </c>
      <c r="CC14" s="8">
        <v>0</v>
      </c>
      <c r="CD14" s="13">
        <v>0</v>
      </c>
      <c r="CI14" s="82">
        <f>D15</f>
        <v>0.25</v>
      </c>
      <c r="CJ14" s="34">
        <f>E14</f>
        <v>8.4999999999999992E-2</v>
      </c>
      <c r="CK14" s="74">
        <f>F14</f>
        <v>5.4999999999999997E-3</v>
      </c>
      <c r="CL14" s="77"/>
      <c r="CN14" s="66"/>
      <c r="CO14" s="67">
        <f>$E$32</f>
        <v>8.3944810144515075E-2</v>
      </c>
      <c r="CP14" s="66"/>
      <c r="CQ14" s="70">
        <f>$F$32</f>
        <v>2.9813361021872333E-3</v>
      </c>
      <c r="CS14" s="19">
        <v>0</v>
      </c>
      <c r="CT14" s="19">
        <v>0</v>
      </c>
      <c r="CU14" s="19">
        <v>0</v>
      </c>
    </row>
    <row r="15" spans="1:99" ht="18" customHeight="1">
      <c r="D15" s="1">
        <v>0.25</v>
      </c>
      <c r="E15" s="2">
        <v>0.16999999999999998</v>
      </c>
      <c r="F15" s="14">
        <v>9.4999999999999998E-3</v>
      </c>
      <c r="G15" s="15">
        <f t="shared" ca="1" si="0"/>
        <v>33.358994098024127</v>
      </c>
      <c r="H15" s="16">
        <f t="shared" si="1"/>
        <v>2.0199999999999999E-2</v>
      </c>
      <c r="I15" s="17">
        <f t="shared" si="2"/>
        <v>1.7881666666666667</v>
      </c>
      <c r="J15" s="18">
        <f t="shared" si="3"/>
        <v>0.11728999999999999</v>
      </c>
      <c r="K15" s="15">
        <f t="shared" ca="1" si="9"/>
        <v>18.058506543494996</v>
      </c>
      <c r="L15" s="15">
        <f t="shared" ca="1" si="4"/>
        <v>11.738029253271748</v>
      </c>
      <c r="M15" s="15">
        <f ca="1">L15/J15</f>
        <v>100.07698229407237</v>
      </c>
      <c r="N15" s="15">
        <f ca="1">IFERROR(G15+M15,$C$4/$C$1)</f>
        <v>133.43597639209651</v>
      </c>
      <c r="O15" s="16">
        <f>IF($F$9=$BB$34,J15*(1-D15)+H15*(1-$C$3)*D15+F15*(1-$C$3),J15*(1-D15)+H15*(1-$C$3)*D15+F15*$C$4/N15*(1-$C$3))</f>
        <v>9.7424999999999984E-2</v>
      </c>
      <c r="BA15" s="15">
        <f t="shared" ca="1" si="8"/>
        <v>133.44</v>
      </c>
      <c r="BD15" s="25" t="s">
        <v>3</v>
      </c>
      <c r="BE15" s="27" t="s">
        <v>24</v>
      </c>
      <c r="BF15" s="25" t="s">
        <v>25</v>
      </c>
      <c r="BM15" s="21" t="str">
        <f>CONCATENATE("D/A ≤ ",D17)</f>
        <v>D/A ≤ 0.35</v>
      </c>
      <c r="BN15" s="21" t="str">
        <f>CONCATENATE("D/A &gt; ",D17)</f>
        <v>D/A &gt; 0.35</v>
      </c>
      <c r="BR15" s="21" t="str">
        <f>CONCATENATE("D/A ≤ ",D17)</f>
        <v>D/A ≤ 0.35</v>
      </c>
      <c r="BS15" s="21" t="str">
        <f>CONCATENATE("D/A &gt; ",D17)</f>
        <v>D/A &gt; 0.35</v>
      </c>
      <c r="BX15" s="1">
        <v>0.05</v>
      </c>
      <c r="BY15" s="2">
        <v>0</v>
      </c>
      <c r="BZ15" s="14">
        <v>0</v>
      </c>
      <c r="CB15" s="1">
        <v>0.05</v>
      </c>
      <c r="CC15" s="2">
        <v>0</v>
      </c>
      <c r="CD15" s="14">
        <v>0</v>
      </c>
      <c r="CI15" s="68">
        <f>D15</f>
        <v>0.25</v>
      </c>
      <c r="CJ15" s="34">
        <f>E15</f>
        <v>0.16999999999999998</v>
      </c>
      <c r="CK15" s="74">
        <f>F15</f>
        <v>9.4999999999999998E-3</v>
      </c>
      <c r="CL15" s="29"/>
      <c r="CN15" s="68">
        <f>$D10</f>
        <v>0</v>
      </c>
      <c r="CO15" s="67">
        <f t="dataTable" ref="CO15:CO29" dt2D="0" dtr="0" r1="D32"/>
        <v>2.7934687740456375E-4</v>
      </c>
      <c r="CP15" s="68">
        <f>$D10</f>
        <v>0</v>
      </c>
      <c r="CQ15" s="74">
        <f t="dataTable" ref="CQ15:CQ29" dt2D="0" dtr="0" r1="D32" ca="1"/>
        <v>8.6642606453845466E-4</v>
      </c>
      <c r="CS15" s="19">
        <f t="shared" ref="CS15:CS28" si="10">IF(D11&lt;=D10,1,0)</f>
        <v>0</v>
      </c>
      <c r="CT15" s="19">
        <f t="shared" ref="CT15:CT28" si="11">IF(E11&lt;E10,1,0)</f>
        <v>0</v>
      </c>
      <c r="CU15" s="19">
        <f t="shared" ref="CU15:CU28" si="12">IF(F11&lt;Q10,1,0)</f>
        <v>0</v>
      </c>
    </row>
    <row r="16" spans="1:99" ht="18" customHeight="1">
      <c r="D16" s="1">
        <v>0.3</v>
      </c>
      <c r="E16" s="2">
        <v>0.18000000000000002</v>
      </c>
      <c r="F16" s="14">
        <v>1.2500000000000001E-2</v>
      </c>
      <c r="G16" s="15">
        <f ca="1">D16*N16</f>
        <v>39.948783610755434</v>
      </c>
      <c r="H16" s="16">
        <f>$C$1+E16*$C$2</f>
        <v>2.0799999999999999E-2</v>
      </c>
      <c r="I16" s="17">
        <f>$C$5+($C$5-E16)*(1-$C$3)*(D16/(1-D16))</f>
        <v>1.8677142857142859</v>
      </c>
      <c r="J16" s="18">
        <f>$C$1+I16*$C$2</f>
        <v>0.12206285714285714</v>
      </c>
      <c r="K16" s="15">
        <f t="shared" ca="1" si="9"/>
        <v>17.504532650448141</v>
      </c>
      <c r="L16" s="15">
        <f ca="1">K16*(1-$C$3)</f>
        <v>11.377946222791293</v>
      </c>
      <c r="M16" s="15">
        <f ca="1">L16/J16</f>
        <v>93.213828425096025</v>
      </c>
      <c r="N16" s="15">
        <f ca="1">IFERROR(G16+M16,$C$4/$C$1)</f>
        <v>133.16261203585145</v>
      </c>
      <c r="O16" s="16">
        <f t="shared" si="7"/>
        <v>9.762499999999999E-2</v>
      </c>
      <c r="Q16" s="12"/>
      <c r="BA16" s="15">
        <f t="shared" ca="1" si="8"/>
        <v>133.16</v>
      </c>
      <c r="BD16" s="23">
        <f>D30</f>
        <v>0.14999970549875019</v>
      </c>
      <c r="BE16" s="24">
        <f>BE19+(BE20-BE19)/(BD20-BD19)*(BD16-BD19)</f>
        <v>6.4999793849125131E-2</v>
      </c>
      <c r="BF16" s="33">
        <f>BF19+(BF20-BF19)/(BD20-BD19)*(BD16-BD19)</f>
        <v>1.9999882199500077E-3</v>
      </c>
      <c r="BM16" s="19">
        <f>BM8+BN8*D17+BO8*D17^2+BP8*D17^3</f>
        <v>0.2526769168016339</v>
      </c>
      <c r="BN16" s="19">
        <f>BM11+BN11*D17+BO11*D17^2+BP11*D17^3</f>
        <v>0.25267691420779215</v>
      </c>
      <c r="BR16" s="19">
        <f>BR8+BS8*D17+BT8*D17^2+BU8*D17^3</f>
        <v>2.1488732900976901E-2</v>
      </c>
      <c r="BS16" s="19">
        <f>BR11+BS11*D17+BT11*D17^2+BU11*D17^3</f>
        <v>2.1488732605878944E-2</v>
      </c>
      <c r="BX16" s="1">
        <v>0.1</v>
      </c>
      <c r="BY16" s="2">
        <v>0.03</v>
      </c>
      <c r="BZ16" s="14">
        <v>0</v>
      </c>
      <c r="CB16" s="1">
        <v>0.1</v>
      </c>
      <c r="CC16" s="2">
        <v>0.03</v>
      </c>
      <c r="CD16" s="14">
        <v>0</v>
      </c>
      <c r="CI16" s="68">
        <f>D16</f>
        <v>0.3</v>
      </c>
      <c r="CJ16" s="34">
        <f>E15</f>
        <v>0.16999999999999998</v>
      </c>
      <c r="CK16" s="74">
        <f>F15</f>
        <v>9.4999999999999998E-3</v>
      </c>
      <c r="CL16" s="29"/>
      <c r="CN16" s="68">
        <f t="shared" ref="CN16:CN29" si="13">$D11</f>
        <v>0.05</v>
      </c>
      <c r="CO16" s="67">
        <v>1.9941847720427362E-2</v>
      </c>
      <c r="CP16" s="68">
        <f t="shared" ref="CP16:CP29" si="14">$D11</f>
        <v>0.05</v>
      </c>
      <c r="CQ16" s="74">
        <v>2.3072819565883609E-4</v>
      </c>
      <c r="CS16" s="19">
        <f t="shared" si="10"/>
        <v>0</v>
      </c>
      <c r="CT16" s="19">
        <f t="shared" si="11"/>
        <v>0</v>
      </c>
      <c r="CU16" s="19">
        <f t="shared" si="12"/>
        <v>0</v>
      </c>
    </row>
    <row r="17" spans="2:99" ht="18" customHeight="1">
      <c r="D17" s="1">
        <v>0.35</v>
      </c>
      <c r="E17" s="2">
        <v>0.28000000000000003</v>
      </c>
      <c r="F17" s="14">
        <v>2.4999999999999998E-2</v>
      </c>
      <c r="G17" s="15">
        <f t="shared" ref="G17:G24" ca="1" si="15">D17*N17</f>
        <v>43.75</v>
      </c>
      <c r="H17" s="16">
        <f>$C$1+E17*$C$2</f>
        <v>2.6800000000000004E-2</v>
      </c>
      <c r="I17" s="17">
        <f>$C$5+($C$5-E17)*(1-$C$3)*(D17/(1-D17))</f>
        <v>1.927</v>
      </c>
      <c r="J17" s="18">
        <f t="shared" ref="J17:J24" si="16">$C$1+I17*$C$2</f>
        <v>0.12562000000000001</v>
      </c>
      <c r="K17" s="15">
        <f t="shared" ca="1" si="9"/>
        <v>15.702500000000001</v>
      </c>
      <c r="L17" s="15">
        <f t="shared" ref="L17:L24" ca="1" si="17">K17*(1-$C$3)</f>
        <v>10.206625000000001</v>
      </c>
      <c r="M17" s="15">
        <f ca="1">L17/J17</f>
        <v>81.25</v>
      </c>
      <c r="N17" s="15">
        <f ca="1">IFERROR(G17+M17,$C$4/$C$1)</f>
        <v>125</v>
      </c>
      <c r="O17" s="16">
        <f t="shared" si="7"/>
        <v>0.10400000000000001</v>
      </c>
      <c r="BA17" s="15">
        <f t="shared" ca="1" si="8"/>
        <v>125</v>
      </c>
      <c r="BD17" s="114" t="s">
        <v>23</v>
      </c>
      <c r="BE17" s="114"/>
      <c r="BF17" s="114"/>
      <c r="BM17" s="19">
        <f>BN8+2*BO8*D17+3*BP8*D17^2</f>
        <v>1.3414323606392908</v>
      </c>
      <c r="BN17" s="19">
        <f>BN11+2*BO11*D17+3*BP11*D17^2</f>
        <v>1.3414323670657118</v>
      </c>
      <c r="BR17" s="19">
        <f>BS8+2*BT8*D17+3*BU8*D17^2</f>
        <v>0.16586799249307865</v>
      </c>
      <c r="BS17" s="19">
        <f>BS11+2*BT11*D17+3*BU11*D17^2</f>
        <v>0.16586797611245102</v>
      </c>
      <c r="BX17" s="1">
        <v>0.15</v>
      </c>
      <c r="BY17" s="2">
        <v>6.5000000000000002E-2</v>
      </c>
      <c r="BZ17" s="14">
        <v>2E-3</v>
      </c>
      <c r="CB17" s="1">
        <v>0.15</v>
      </c>
      <c r="CC17" s="2">
        <v>6.5000000000000002E-2</v>
      </c>
      <c r="CD17" s="14">
        <v>2E-3</v>
      </c>
      <c r="CI17" s="68">
        <f>D16</f>
        <v>0.3</v>
      </c>
      <c r="CJ17" s="34">
        <f>E16</f>
        <v>0.18000000000000002</v>
      </c>
      <c r="CK17" s="74">
        <f>F16</f>
        <v>1.2500000000000001E-2</v>
      </c>
      <c r="CL17" s="29"/>
      <c r="CN17" s="68">
        <f t="shared" si="13"/>
        <v>0.1</v>
      </c>
      <c r="CO17" s="67">
        <v>4.2238602804709459E-2</v>
      </c>
      <c r="CP17" s="68">
        <f t="shared" si="14"/>
        <v>0.1</v>
      </c>
      <c r="CQ17" s="74">
        <v>5.1069252819384682E-4</v>
      </c>
      <c r="CS17" s="19">
        <f t="shared" si="10"/>
        <v>0</v>
      </c>
      <c r="CT17" s="19">
        <f t="shared" si="11"/>
        <v>0</v>
      </c>
      <c r="CU17" s="19">
        <f t="shared" si="12"/>
        <v>0</v>
      </c>
    </row>
    <row r="18" spans="2:99" ht="18" customHeight="1">
      <c r="D18" s="1">
        <v>0.4</v>
      </c>
      <c r="E18" s="2">
        <v>0.30000000000000004</v>
      </c>
      <c r="F18" s="14">
        <v>2.6000000000000002E-2</v>
      </c>
      <c r="G18" s="15">
        <f t="shared" ca="1" si="15"/>
        <v>50.534499514091351</v>
      </c>
      <c r="H18" s="16">
        <f t="shared" ref="H18:H24" si="18">$C$1+E18*$C$2</f>
        <v>2.8000000000000004E-2</v>
      </c>
      <c r="I18" s="17">
        <f t="shared" ref="I18:I24" si="19">$C$5+($C$5-E18)*(1-$C$3)*(D18/(1-D18))</f>
        <v>2.02</v>
      </c>
      <c r="J18" s="18">
        <f t="shared" si="16"/>
        <v>0.13120000000000001</v>
      </c>
      <c r="K18" s="15">
        <f t="shared" ca="1" si="9"/>
        <v>15.300291545189504</v>
      </c>
      <c r="L18" s="15">
        <f t="shared" ca="1" si="17"/>
        <v>9.9451895043731771</v>
      </c>
      <c r="M18" s="15">
        <f t="shared" ref="M18:M24" ca="1" si="20">L18/J18</f>
        <v>75.801749271137012</v>
      </c>
      <c r="N18" s="15">
        <f t="shared" ref="N18:N24" ca="1" si="21">IFERROR(G18+M18,$C$4/$C$1)</f>
        <v>126.33624878522836</v>
      </c>
      <c r="O18" s="16">
        <f t="shared" si="7"/>
        <v>0.10289999999999999</v>
      </c>
      <c r="AG18" s="92" t="s">
        <v>26</v>
      </c>
      <c r="AH18" s="92"/>
      <c r="AI18" s="92"/>
      <c r="AJ18" s="92"/>
      <c r="AK18" s="92"/>
      <c r="AL18" s="92"/>
      <c r="AM18" s="92"/>
      <c r="AN18" s="92"/>
      <c r="AO18" s="92"/>
      <c r="AP18" s="92"/>
      <c r="AQ18" s="92"/>
      <c r="AR18" s="92"/>
      <c r="BA18" s="15">
        <f t="shared" ca="1" si="8"/>
        <v>126.34</v>
      </c>
      <c r="BD18" s="25" t="s">
        <v>3</v>
      </c>
      <c r="BE18" s="26" t="s">
        <v>20</v>
      </c>
      <c r="BF18" s="25" t="s">
        <v>21</v>
      </c>
      <c r="BM18" s="19">
        <f>2*BO8+6*BP8*D17</f>
        <v>5.1296371221008297</v>
      </c>
      <c r="BN18" s="19">
        <f>2*BO11+6*BP11*D17</f>
        <v>5.1296371200456283</v>
      </c>
      <c r="BR18" s="19">
        <f>2*BT8+6*BU8*D17</f>
        <v>0.76694732780392494</v>
      </c>
      <c r="BS18" s="19">
        <f>2*BT11+6*BU11*D17</f>
        <v>0.76694732369955032</v>
      </c>
      <c r="BX18" s="1">
        <v>0.2</v>
      </c>
      <c r="BY18" s="2">
        <v>8.4999999999999992E-2</v>
      </c>
      <c r="BZ18" s="14">
        <v>5.4999999999999997E-3</v>
      </c>
      <c r="CB18" s="1">
        <v>0.2</v>
      </c>
      <c r="CC18" s="2">
        <v>8.4999999999999992E-2</v>
      </c>
      <c r="CD18" s="14">
        <v>5.4999999999999997E-3</v>
      </c>
      <c r="CI18" s="68">
        <f>D17</f>
        <v>0.35</v>
      </c>
      <c r="CJ18" s="34">
        <f>E16</f>
        <v>0.18000000000000002</v>
      </c>
      <c r="CK18" s="74">
        <f>F16</f>
        <v>1.2500000000000001E-2</v>
      </c>
      <c r="CL18" s="29"/>
      <c r="CN18" s="68">
        <f t="shared" si="13"/>
        <v>0.15</v>
      </c>
      <c r="CO18" s="67">
        <v>6.886791855758298E-2</v>
      </c>
      <c r="CP18" s="68">
        <f t="shared" si="14"/>
        <v>0.15</v>
      </c>
      <c r="CQ18" s="74">
        <v>1.8732700818260171E-3</v>
      </c>
      <c r="CS18" s="19">
        <f t="shared" si="10"/>
        <v>0</v>
      </c>
      <c r="CT18" s="19">
        <f t="shared" si="11"/>
        <v>0</v>
      </c>
      <c r="CU18" s="19">
        <f t="shared" si="12"/>
        <v>0</v>
      </c>
    </row>
    <row r="19" spans="2:99" ht="18" customHeight="1">
      <c r="D19" s="1">
        <v>0.45</v>
      </c>
      <c r="E19" s="2">
        <v>0.43999999999999995</v>
      </c>
      <c r="F19" s="14">
        <v>4.3999999999999997E-2</v>
      </c>
      <c r="G19" s="15">
        <f t="shared" ca="1" si="15"/>
        <v>51.838723969871509</v>
      </c>
      <c r="H19" s="16">
        <f t="shared" si="18"/>
        <v>3.6399999999999995E-2</v>
      </c>
      <c r="I19" s="17">
        <f t="shared" si="19"/>
        <v>2.0637272727272729</v>
      </c>
      <c r="J19" s="18">
        <f t="shared" si="16"/>
        <v>0.13382363636363637</v>
      </c>
      <c r="K19" s="15">
        <f t="shared" ca="1" si="9"/>
        <v>13.044395214887018</v>
      </c>
      <c r="L19" s="15">
        <f t="shared" ca="1" si="17"/>
        <v>8.4788568896765621</v>
      </c>
      <c r="M19" s="15">
        <f t="shared" ca="1" si="20"/>
        <v>63.358440407620733</v>
      </c>
      <c r="N19" s="15">
        <f t="shared" ca="1" si="21"/>
        <v>115.19716437749224</v>
      </c>
      <c r="O19" s="16">
        <f t="shared" si="7"/>
        <v>0.11285000000000001</v>
      </c>
      <c r="BA19" s="15">
        <f t="shared" ca="1" si="8"/>
        <v>115.2</v>
      </c>
      <c r="BD19" s="22" cm="1">
        <f t="array" ref="BD19">MAX(IF((D10:D24)&lt;=D30,D10:D24,""))</f>
        <v>0.1</v>
      </c>
      <c r="BE19" s="24">
        <f>VLOOKUP(BD19,D10:F24,2)</f>
        <v>0.03</v>
      </c>
      <c r="BF19" s="18">
        <f>VLOOKUP(BD19,D10:F24,3)</f>
        <v>0</v>
      </c>
      <c r="BX19" s="1">
        <v>0.25</v>
      </c>
      <c r="BY19" s="2">
        <v>0.16999999999999998</v>
      </c>
      <c r="BZ19" s="14">
        <v>9.4999999999999998E-3</v>
      </c>
      <c r="CB19" s="1">
        <v>0.25</v>
      </c>
      <c r="CC19" s="2">
        <v>0.16999999999999998</v>
      </c>
      <c r="CD19" s="14">
        <v>9.4999999999999998E-3</v>
      </c>
      <c r="CI19" s="68">
        <f>D17</f>
        <v>0.35</v>
      </c>
      <c r="CJ19" s="34">
        <f>E17</f>
        <v>0.28000000000000003</v>
      </c>
      <c r="CK19" s="74">
        <f>F17</f>
        <v>2.4999999999999998E-2</v>
      </c>
      <c r="CL19" s="29"/>
      <c r="CN19" s="68">
        <f t="shared" si="13"/>
        <v>0.2</v>
      </c>
      <c r="CO19" s="67">
        <v>0.10152810140638008</v>
      </c>
      <c r="CP19" s="68">
        <f t="shared" si="14"/>
        <v>0.2</v>
      </c>
      <c r="CQ19" s="74">
        <v>4.4854118762378782E-3</v>
      </c>
      <c r="CS19" s="19">
        <f t="shared" si="10"/>
        <v>0</v>
      </c>
      <c r="CT19" s="19">
        <f t="shared" si="11"/>
        <v>0</v>
      </c>
      <c r="CU19" s="19">
        <f t="shared" si="12"/>
        <v>0</v>
      </c>
    </row>
    <row r="20" spans="2:99" ht="18" customHeight="1">
      <c r="D20" s="1">
        <v>0.5</v>
      </c>
      <c r="E20" s="2">
        <v>0.47</v>
      </c>
      <c r="F20" s="14">
        <v>5.2000000000000005E-2</v>
      </c>
      <c r="G20" s="15">
        <f t="shared" ca="1" si="15"/>
        <v>55.889939810834043</v>
      </c>
      <c r="H20" s="16">
        <f t="shared" si="18"/>
        <v>3.8199999999999998E-2</v>
      </c>
      <c r="I20" s="17">
        <f t="shared" si="19"/>
        <v>2.1695000000000002</v>
      </c>
      <c r="J20" s="18">
        <f t="shared" si="16"/>
        <v>0.14017000000000002</v>
      </c>
      <c r="K20" s="15">
        <f t="shared" ca="1" si="9"/>
        <v>12.052450558899398</v>
      </c>
      <c r="L20" s="15">
        <f t="shared" ca="1" si="17"/>
        <v>7.8340928632846092</v>
      </c>
      <c r="M20" s="15">
        <f t="shared" ca="1" si="20"/>
        <v>55.889939810834043</v>
      </c>
      <c r="N20" s="15">
        <f t="shared" ca="1" si="21"/>
        <v>111.77987962166809</v>
      </c>
      <c r="O20" s="16">
        <f t="shared" si="7"/>
        <v>0.11630000000000001</v>
      </c>
      <c r="BA20" s="15">
        <f t="shared" ca="1" si="8"/>
        <v>111.78</v>
      </c>
      <c r="BD20" s="22" cm="1">
        <f t="array" ref="BD20">MIN(IF((D10:D24)&gt;D30,D10:D24,""))</f>
        <v>0.15</v>
      </c>
      <c r="BE20" s="24">
        <f>VLOOKUP(BD20,D10:F24,2)</f>
        <v>6.5000000000000002E-2</v>
      </c>
      <c r="BF20" s="18">
        <f>VLOOKUP(BD20,D10:F24,3)</f>
        <v>2E-3</v>
      </c>
      <c r="BX20" s="1">
        <v>0.3</v>
      </c>
      <c r="BY20" s="2">
        <v>0.18000000000000002</v>
      </c>
      <c r="BZ20" s="14">
        <v>1.2500000000000001E-2</v>
      </c>
      <c r="CB20" s="1">
        <v>0.3</v>
      </c>
      <c r="CC20" s="2">
        <v>0.18000000000000002</v>
      </c>
      <c r="CD20" s="14">
        <v>1.2500000000000001E-2</v>
      </c>
      <c r="CI20" s="68">
        <f>D18</f>
        <v>0.4</v>
      </c>
      <c r="CJ20" s="34">
        <f>E17</f>
        <v>0.28000000000000003</v>
      </c>
      <c r="CK20" s="74">
        <f>F17</f>
        <v>2.4999999999999998E-2</v>
      </c>
      <c r="CL20" s="29"/>
      <c r="CN20" s="68">
        <f t="shared" si="13"/>
        <v>0.25</v>
      </c>
      <c r="CO20" s="67">
        <v>0.14191745777843284</v>
      </c>
      <c r="CP20" s="68">
        <f t="shared" si="14"/>
        <v>0.25</v>
      </c>
      <c r="CQ20" s="74">
        <v>8.514068931111958E-3</v>
      </c>
      <c r="CS20" s="19">
        <f t="shared" si="10"/>
        <v>0</v>
      </c>
      <c r="CT20" s="19">
        <f t="shared" si="11"/>
        <v>0</v>
      </c>
      <c r="CU20" s="19">
        <f t="shared" si="12"/>
        <v>0</v>
      </c>
    </row>
    <row r="21" spans="2:99" ht="18" customHeight="1">
      <c r="D21" s="1">
        <v>0.55000000000000004</v>
      </c>
      <c r="E21" s="2">
        <v>0.63</v>
      </c>
      <c r="F21" s="14">
        <v>7.3999999999999996E-2</v>
      </c>
      <c r="G21" s="15">
        <f t="shared" ca="1" si="15"/>
        <v>55.490880869227787</v>
      </c>
      <c r="H21" s="16">
        <f t="shared" si="18"/>
        <v>4.7800000000000002E-2</v>
      </c>
      <c r="I21" s="17">
        <f t="shared" si="19"/>
        <v>2.1911666666666667</v>
      </c>
      <c r="J21" s="18">
        <f t="shared" si="16"/>
        <v>0.14147000000000001</v>
      </c>
      <c r="K21" s="15">
        <f t="shared" ca="1" si="9"/>
        <v>9.8814901047729933</v>
      </c>
      <c r="L21" s="15">
        <f t="shared" ca="1" si="17"/>
        <v>6.422968568102446</v>
      </c>
      <c r="M21" s="15">
        <f t="shared" ca="1" si="20"/>
        <v>45.401629802095464</v>
      </c>
      <c r="N21" s="15">
        <f t="shared" ca="1" si="21"/>
        <v>100.89251067132325</v>
      </c>
      <c r="O21" s="16">
        <f t="shared" si="7"/>
        <v>0.12884999999999999</v>
      </c>
      <c r="BA21" s="15">
        <f t="shared" ca="1" si="8"/>
        <v>100.89</v>
      </c>
      <c r="BD21" s="96" t="s">
        <v>27</v>
      </c>
      <c r="BE21" s="96"/>
      <c r="BF21" s="96"/>
      <c r="BH21" s="113" t="s">
        <v>31</v>
      </c>
      <c r="BI21" s="105"/>
      <c r="BJ21" s="105"/>
      <c r="BK21" s="105"/>
      <c r="BX21" s="1">
        <v>0.35</v>
      </c>
      <c r="BY21" s="2">
        <v>0.28000000000000003</v>
      </c>
      <c r="BZ21" s="14">
        <v>2.4999999999999998E-2</v>
      </c>
      <c r="CB21" s="1">
        <v>0.35</v>
      </c>
      <c r="CC21" s="2">
        <v>0.28000000000000003</v>
      </c>
      <c r="CD21" s="14">
        <v>2.4999999999999998E-2</v>
      </c>
      <c r="CI21" s="68">
        <f>D18</f>
        <v>0.4</v>
      </c>
      <c r="CJ21" s="34">
        <f>E18</f>
        <v>0.30000000000000004</v>
      </c>
      <c r="CK21" s="74">
        <f>F18</f>
        <v>2.6000000000000002E-2</v>
      </c>
      <c r="CL21" s="29"/>
      <c r="CN21" s="68">
        <f t="shared" si="13"/>
        <v>0.3</v>
      </c>
      <c r="CO21" s="67">
        <v>0.1917342941010734</v>
      </c>
      <c r="CP21" s="68">
        <f t="shared" si="14"/>
        <v>0.3</v>
      </c>
      <c r="CQ21" s="74">
        <v>1.412619226613079E-2</v>
      </c>
      <c r="CS21" s="19">
        <f t="shared" si="10"/>
        <v>0</v>
      </c>
      <c r="CT21" s="19">
        <f t="shared" si="11"/>
        <v>0</v>
      </c>
      <c r="CU21" s="19">
        <f t="shared" si="12"/>
        <v>0</v>
      </c>
    </row>
    <row r="22" spans="2:99" ht="18" customHeight="1">
      <c r="D22" s="1">
        <v>0.6</v>
      </c>
      <c r="E22" s="2">
        <v>0.67999999999999994</v>
      </c>
      <c r="F22" s="14">
        <v>8.5999999999999993E-2</v>
      </c>
      <c r="G22" s="15">
        <f t="shared" ca="1" si="15"/>
        <v>57.820607857672343</v>
      </c>
      <c r="H22" s="16">
        <f t="shared" si="18"/>
        <v>5.0799999999999998E-2</v>
      </c>
      <c r="I22" s="17">
        <f t="shared" si="19"/>
        <v>2.2995000000000001</v>
      </c>
      <c r="J22" s="18">
        <f t="shared" si="16"/>
        <v>0.14797000000000002</v>
      </c>
      <c r="K22" s="15">
        <f t="shared" ca="1" si="9"/>
        <v>8.7750926612305413</v>
      </c>
      <c r="L22" s="15">
        <f t="shared" ca="1" si="17"/>
        <v>5.7038102297998519</v>
      </c>
      <c r="M22" s="15">
        <f t="shared" ca="1" si="20"/>
        <v>38.547071905114898</v>
      </c>
      <c r="N22" s="15">
        <f t="shared" ca="1" si="21"/>
        <v>96.367679762787247</v>
      </c>
      <c r="O22" s="16">
        <f t="shared" si="7"/>
        <v>0.13490000000000002</v>
      </c>
      <c r="BA22" s="15">
        <f t="shared" ca="1" si="8"/>
        <v>96.37</v>
      </c>
      <c r="BD22" s="21" t="s">
        <v>3</v>
      </c>
      <c r="BE22" s="21" t="s">
        <v>30</v>
      </c>
      <c r="BF22" s="21" t="s">
        <v>29</v>
      </c>
      <c r="BG22" s="29"/>
      <c r="BH22" s="25" t="s">
        <v>29</v>
      </c>
      <c r="BI22" s="25" t="s">
        <v>30</v>
      </c>
      <c r="BJ22" s="25" t="s">
        <v>3</v>
      </c>
      <c r="BK22" s="25" t="s">
        <v>28</v>
      </c>
      <c r="BL22" s="29"/>
      <c r="BM22" s="25" t="s">
        <v>43</v>
      </c>
      <c r="BN22" s="25" t="s">
        <v>46</v>
      </c>
      <c r="BP22" s="25" t="s">
        <v>44</v>
      </c>
      <c r="BR22" s="25" t="s">
        <v>43</v>
      </c>
      <c r="BS22" s="25" t="s">
        <v>46</v>
      </c>
      <c r="BU22" s="25" t="s">
        <v>44</v>
      </c>
      <c r="BX22" s="1">
        <v>0.4</v>
      </c>
      <c r="BY22" s="2">
        <v>0.30000000000000004</v>
      </c>
      <c r="BZ22" s="14">
        <v>2.6000000000000002E-2</v>
      </c>
      <c r="CB22" s="1">
        <v>0.4</v>
      </c>
      <c r="CC22" s="2">
        <v>0.30000000000000004</v>
      </c>
      <c r="CD22" s="14">
        <v>2.6000000000000002E-2</v>
      </c>
      <c r="CI22" s="68">
        <f>D19</f>
        <v>0.45</v>
      </c>
      <c r="CJ22" s="34">
        <f>E18</f>
        <v>0.30000000000000004</v>
      </c>
      <c r="CK22" s="74">
        <f>F18</f>
        <v>2.6000000000000002E-2</v>
      </c>
      <c r="CL22" s="29"/>
      <c r="CN22" s="68">
        <f t="shared" si="13"/>
        <v>0.35</v>
      </c>
      <c r="CO22" s="67">
        <v>0.2526769168016339</v>
      </c>
      <c r="CP22" s="68">
        <f t="shared" si="14"/>
        <v>0.35</v>
      </c>
      <c r="CQ22" s="74">
        <v>2.1488732900976901E-2</v>
      </c>
      <c r="CS22" s="19">
        <f t="shared" si="10"/>
        <v>0</v>
      </c>
      <c r="CT22" s="19">
        <f t="shared" si="11"/>
        <v>0</v>
      </c>
      <c r="CU22" s="19">
        <f t="shared" si="12"/>
        <v>0</v>
      </c>
    </row>
    <row r="23" spans="2:99" ht="18" customHeight="1">
      <c r="D23" s="1">
        <v>0.65</v>
      </c>
      <c r="E23" s="2">
        <v>0.86</v>
      </c>
      <c r="F23" s="14">
        <v>0.112</v>
      </c>
      <c r="G23" s="15">
        <f t="shared" ca="1" si="15"/>
        <v>56.314561812729096</v>
      </c>
      <c r="H23" s="16">
        <f t="shared" si="18"/>
        <v>6.1600000000000002E-2</v>
      </c>
      <c r="I23" s="17">
        <f t="shared" si="19"/>
        <v>2.2725714285714287</v>
      </c>
      <c r="J23" s="18">
        <f t="shared" si="16"/>
        <v>0.14635428571428571</v>
      </c>
      <c r="K23" s="15">
        <f t="shared" ca="1" si="9"/>
        <v>6.8275908030656449</v>
      </c>
      <c r="L23" s="15">
        <f t="shared" ca="1" si="17"/>
        <v>4.4379340219926693</v>
      </c>
      <c r="M23" s="15">
        <f t="shared" ca="1" si="20"/>
        <v>30.323225591469512</v>
      </c>
      <c r="N23" s="15">
        <f t="shared" ca="1" si="21"/>
        <v>86.637787404198605</v>
      </c>
      <c r="O23" s="16">
        <f t="shared" si="7"/>
        <v>0.15005000000000002</v>
      </c>
      <c r="BA23" s="15">
        <f t="shared" ca="1" si="8"/>
        <v>86.64</v>
      </c>
      <c r="BD23" s="32">
        <f>D10</f>
        <v>0</v>
      </c>
      <c r="BE23" s="33">
        <f>BD23^2</f>
        <v>0</v>
      </c>
      <c r="BF23" s="33">
        <f>BD23^3</f>
        <v>0</v>
      </c>
      <c r="BG23" s="29"/>
      <c r="BH23" s="50" cm="1">
        <f t="array" ref="BH23:BK23">LINEST(E10:E24,BD23:BF37,TRUE,FALSE)</f>
        <v>5.6142114965646271E-2</v>
      </c>
      <c r="BI23" s="50">
        <v>1.6613158083746307</v>
      </c>
      <c r="BJ23" s="50">
        <v>0.16854455457396619</v>
      </c>
      <c r="BK23" s="50">
        <v>-3.8545751633985697E-3</v>
      </c>
      <c r="BL23" s="29"/>
      <c r="BM23" s="24">
        <f>E10-($BM$8+$BN$8*D10+$BO$8*D10^2+$BP$8*D10^3)</f>
        <v>-2.7934687740456375E-4</v>
      </c>
      <c r="BN23" s="34">
        <f>BM23^2</f>
        <v>7.8034677915680365E-8</v>
      </c>
      <c r="BP23" s="24">
        <f>SUM(BN23:BN37)</f>
        <v>8.2260419439629043E-3</v>
      </c>
      <c r="BR23" s="24">
        <f>F10-($BR$8+$BS$8*D10+$BT$8*D10^2+$BU$8*D10^3)</f>
        <v>-8.6642606453845466E-4</v>
      </c>
      <c r="BS23" s="34">
        <f>BR23^2</f>
        <v>7.5069412531159445E-7</v>
      </c>
      <c r="BU23" s="24">
        <f>SUM(BS23:BS37)</f>
        <v>9.1740858674885779E-5</v>
      </c>
      <c r="BX23" s="1">
        <v>0.45</v>
      </c>
      <c r="BY23" s="2">
        <v>0.43999999999999995</v>
      </c>
      <c r="BZ23" s="14">
        <v>4.3999999999999997E-2</v>
      </c>
      <c r="CB23" s="1">
        <v>0.45</v>
      </c>
      <c r="CC23" s="2">
        <v>0.43999999999999995</v>
      </c>
      <c r="CD23" s="14">
        <v>4.3999999999999997E-2</v>
      </c>
      <c r="CI23" s="68">
        <f>D19</f>
        <v>0.45</v>
      </c>
      <c r="CJ23" s="34">
        <f>E19</f>
        <v>0.43999999999999995</v>
      </c>
      <c r="CK23" s="74">
        <f>F19</f>
        <v>4.3999999999999997E-2</v>
      </c>
      <c r="CL23" s="29"/>
      <c r="CN23" s="68">
        <f t="shared" si="13"/>
        <v>0.4</v>
      </c>
      <c r="CO23" s="67">
        <v>0.32588373663910442</v>
      </c>
      <c r="CP23" s="68">
        <f t="shared" si="14"/>
        <v>0.4</v>
      </c>
      <c r="CQ23" s="74">
        <v>3.0751434627454107E-2</v>
      </c>
      <c r="CS23" s="19">
        <f t="shared" si="10"/>
        <v>0</v>
      </c>
      <c r="CT23" s="19">
        <f t="shared" si="11"/>
        <v>0</v>
      </c>
      <c r="CU23" s="19">
        <f t="shared" si="12"/>
        <v>0</v>
      </c>
    </row>
    <row r="24" spans="2:99" ht="18" customHeight="1" thickBot="1">
      <c r="D24" s="1">
        <v>0.7</v>
      </c>
      <c r="E24" s="2">
        <v>0.92999999999999994</v>
      </c>
      <c r="F24" s="14">
        <v>0.128</v>
      </c>
      <c r="G24" s="15">
        <f t="shared" ca="1" si="15"/>
        <v>57.340894770006301</v>
      </c>
      <c r="H24" s="16">
        <f t="shared" si="18"/>
        <v>6.5799999999999997E-2</v>
      </c>
      <c r="I24" s="17">
        <f t="shared" si="19"/>
        <v>2.3645</v>
      </c>
      <c r="J24" s="18">
        <f t="shared" si="16"/>
        <v>0.15187</v>
      </c>
      <c r="K24" s="15">
        <f t="shared" ca="1" si="9"/>
        <v>5.7417769376181464</v>
      </c>
      <c r="L24" s="15">
        <f t="shared" ca="1" si="17"/>
        <v>3.7321550094517955</v>
      </c>
      <c r="M24" s="15">
        <f t="shared" ca="1" si="20"/>
        <v>24.574669187145556</v>
      </c>
      <c r="N24" s="15">
        <f t="shared" ca="1" si="21"/>
        <v>81.915563957151861</v>
      </c>
      <c r="O24" s="16">
        <f t="shared" si="7"/>
        <v>0.15870000000000001</v>
      </c>
      <c r="BA24" s="15">
        <f t="shared" ca="1" si="8"/>
        <v>81.92</v>
      </c>
      <c r="BD24" s="32">
        <f t="shared" ref="BD24:BD37" si="22">D11</f>
        <v>0.05</v>
      </c>
      <c r="BE24" s="33">
        <f t="shared" ref="BE24:BE37" si="23">BD24^2</f>
        <v>2.5000000000000005E-3</v>
      </c>
      <c r="BF24" s="33">
        <f t="shared" ref="BF24:BF37" si="24">BD24^3</f>
        <v>1.2500000000000003E-4</v>
      </c>
      <c r="BG24" s="29"/>
      <c r="BH24" s="29"/>
      <c r="BI24" s="29"/>
      <c r="BJ24" s="29"/>
      <c r="BK24" s="29"/>
      <c r="BL24" s="29"/>
      <c r="BM24" s="24">
        <f>E11-($BM$8+$BN$8*D11+$BO$8*D11^2+$BP$8*D11^3)</f>
        <v>-1.9941847720427362E-2</v>
      </c>
      <c r="BN24" s="34">
        <f>BM24^2</f>
        <v>3.9767729050471396E-4</v>
      </c>
      <c r="BR24" s="24">
        <f>F11-($BR$8+$BS$8*D11+$BT$8*D11^2+$BU$8*D11^3)</f>
        <v>-2.3072819565883609E-4</v>
      </c>
      <c r="BS24" s="34">
        <f>BR24^2</f>
        <v>5.3235500271982147E-8</v>
      </c>
      <c r="BX24" s="1">
        <v>0.5</v>
      </c>
      <c r="BY24" s="2">
        <v>0.47</v>
      </c>
      <c r="BZ24" s="14">
        <v>5.2000000000000005E-2</v>
      </c>
      <c r="CB24" s="1">
        <v>0.5</v>
      </c>
      <c r="CC24" s="2">
        <v>0.47</v>
      </c>
      <c r="CD24" s="14">
        <v>5.2000000000000005E-2</v>
      </c>
      <c r="CI24" s="68">
        <f>D20</f>
        <v>0.5</v>
      </c>
      <c r="CJ24" s="34">
        <f>E19</f>
        <v>0.43999999999999995</v>
      </c>
      <c r="CK24" s="74">
        <f>F19</f>
        <v>4.3999999999999997E-2</v>
      </c>
      <c r="CL24" s="29"/>
      <c r="CN24" s="68">
        <f t="shared" si="13"/>
        <v>0.45</v>
      </c>
      <c r="CO24" s="67">
        <v>0.41025359793834826</v>
      </c>
      <c r="CP24" s="68">
        <f t="shared" si="14"/>
        <v>0.45</v>
      </c>
      <c r="CQ24" s="74">
        <v>4.1995219326247078E-2</v>
      </c>
      <c r="CS24" s="19">
        <f t="shared" si="10"/>
        <v>0</v>
      </c>
      <c r="CT24" s="19">
        <f t="shared" si="11"/>
        <v>0</v>
      </c>
      <c r="CU24" s="19">
        <f t="shared" si="12"/>
        <v>0</v>
      </c>
    </row>
    <row r="25" spans="2:99" ht="16" thickBot="1">
      <c r="Q25" s="89" t="s">
        <v>64</v>
      </c>
      <c r="R25" s="90"/>
      <c r="S25" s="90"/>
      <c r="T25" s="90"/>
      <c r="U25" s="90"/>
      <c r="V25" s="90"/>
      <c r="W25" s="90"/>
      <c r="X25" s="90"/>
      <c r="Y25" s="90"/>
      <c r="Z25" s="91"/>
      <c r="BD25" s="32">
        <f t="shared" si="22"/>
        <v>0.1</v>
      </c>
      <c r="BE25" s="33">
        <f t="shared" si="23"/>
        <v>1.0000000000000002E-2</v>
      </c>
      <c r="BF25" s="33">
        <f t="shared" si="24"/>
        <v>1.0000000000000002E-3</v>
      </c>
      <c r="BG25" s="29"/>
      <c r="BH25" s="29"/>
      <c r="BI25" s="29"/>
      <c r="BJ25" s="29"/>
      <c r="BK25" s="29"/>
      <c r="BL25" s="29"/>
      <c r="BM25" s="24">
        <f t="shared" ref="BM25:BM28" si="25">E12-($BM$8+$BN$8*D12+$BO$8*D12^2+$BP$8*D12^3)</f>
        <v>-1.223860280470946E-2</v>
      </c>
      <c r="BN25" s="34">
        <f>BM25^2</f>
        <v>1.4978339861144226E-4</v>
      </c>
      <c r="BR25" s="24">
        <f t="shared" ref="BR25:BR28" si="26">F12-($BR$8+$BS$8*D12+$BT$8*D12^2+$BU$8*D12^3)</f>
        <v>-5.1069252819384682E-4</v>
      </c>
      <c r="BS25" s="34">
        <f t="shared" ref="BS25:BS37" si="27">BR25^2</f>
        <v>2.6080685835302306E-7</v>
      </c>
      <c r="BX25" s="1">
        <v>0.55000000000000004</v>
      </c>
      <c r="BY25" s="2">
        <v>0.63</v>
      </c>
      <c r="BZ25" s="14">
        <v>7.3999999999999996E-2</v>
      </c>
      <c r="CB25" s="1">
        <v>0.55000000000000004</v>
      </c>
      <c r="CC25" s="2">
        <v>0.63</v>
      </c>
      <c r="CD25" s="14">
        <v>7.3999999999999996E-2</v>
      </c>
      <c r="CI25" s="68">
        <f>D20</f>
        <v>0.5</v>
      </c>
      <c r="CJ25" s="34">
        <f>E20</f>
        <v>0.47</v>
      </c>
      <c r="CK25" s="74">
        <f>F20</f>
        <v>5.2000000000000005E-2</v>
      </c>
      <c r="CL25" s="29"/>
      <c r="CN25" s="68">
        <f t="shared" si="13"/>
        <v>0.5</v>
      </c>
      <c r="CO25" s="67">
        <v>0.50412544417334115</v>
      </c>
      <c r="CP25" s="68">
        <f t="shared" si="14"/>
        <v>0.5</v>
      </c>
      <c r="CQ25" s="74">
        <v>5.5283801070226811E-2</v>
      </c>
      <c r="CS25" s="19">
        <f t="shared" si="10"/>
        <v>0</v>
      </c>
      <c r="CT25" s="19">
        <f t="shared" si="11"/>
        <v>0</v>
      </c>
      <c r="CU25" s="19">
        <f t="shared" si="12"/>
        <v>0</v>
      </c>
    </row>
    <row r="26" spans="2:99">
      <c r="Q26" s="59"/>
      <c r="R26" s="29"/>
      <c r="S26" s="29"/>
      <c r="T26" s="29"/>
      <c r="U26" s="29"/>
      <c r="V26" s="29"/>
      <c r="W26" s="29"/>
      <c r="X26" s="29"/>
      <c r="Y26" s="29"/>
      <c r="Z26" s="60"/>
      <c r="BA26" s="94" t="s">
        <v>19</v>
      </c>
      <c r="BB26" s="95"/>
      <c r="BD26" s="32">
        <f t="shared" si="22"/>
        <v>0.15</v>
      </c>
      <c r="BE26" s="33">
        <f t="shared" si="23"/>
        <v>2.2499999999999999E-2</v>
      </c>
      <c r="BF26" s="33">
        <f t="shared" si="24"/>
        <v>3.375E-3</v>
      </c>
      <c r="BG26" s="29"/>
      <c r="BH26" s="113" t="s">
        <v>32</v>
      </c>
      <c r="BI26" s="105"/>
      <c r="BJ26" s="105"/>
      <c r="BK26" s="105"/>
      <c r="BL26" s="29"/>
      <c r="BM26" s="24">
        <f t="shared" si="25"/>
        <v>-3.8679185575829778E-3</v>
      </c>
      <c r="BN26" s="34">
        <f t="shared" ref="BN26:BN37" si="28">BM26^2</f>
        <v>1.4960793968094784E-5</v>
      </c>
      <c r="BR26" s="24">
        <f>F13-($BR$8+$BS$8*D13+$BT$8*D13^2+$BU$8*D13^3)</f>
        <v>1.2672991817398293E-4</v>
      </c>
      <c r="BS26" s="34">
        <f t="shared" si="27"/>
        <v>1.6060472160384409E-8</v>
      </c>
      <c r="BX26" s="1">
        <v>0.6</v>
      </c>
      <c r="BY26" s="2">
        <v>0.67999999999999994</v>
      </c>
      <c r="BZ26" s="14">
        <v>8.5999999999999993E-2</v>
      </c>
      <c r="CB26" s="1">
        <v>0.6</v>
      </c>
      <c r="CC26" s="2">
        <v>0.67999999999999994</v>
      </c>
      <c r="CD26" s="14">
        <v>8.5999999999999993E-2</v>
      </c>
      <c r="CI26" s="68">
        <f>D21</f>
        <v>0.55000000000000004</v>
      </c>
      <c r="CJ26" s="34">
        <f>E20</f>
        <v>0.47</v>
      </c>
      <c r="CK26" s="74">
        <f>F20</f>
        <v>5.2000000000000005E-2</v>
      </c>
      <c r="CL26" s="29"/>
      <c r="CN26" s="68">
        <f t="shared" si="13"/>
        <v>0.55000000000000004</v>
      </c>
      <c r="CO26" s="67">
        <v>0.6058382214119008</v>
      </c>
      <c r="CP26" s="68">
        <f t="shared" si="14"/>
        <v>0.55000000000000004</v>
      </c>
      <c r="CQ26" s="74">
        <v>7.0680894227362276E-2</v>
      </c>
      <c r="CS26" s="19">
        <f t="shared" si="10"/>
        <v>0</v>
      </c>
      <c r="CT26" s="19">
        <f t="shared" si="11"/>
        <v>0</v>
      </c>
      <c r="CU26" s="19">
        <f t="shared" si="12"/>
        <v>0</v>
      </c>
    </row>
    <row r="27" spans="2:99" ht="19">
      <c r="F27" s="115" t="s">
        <v>54</v>
      </c>
      <c r="G27" s="115"/>
      <c r="H27" s="115"/>
      <c r="I27" s="115"/>
      <c r="J27" s="115"/>
      <c r="K27" s="115"/>
      <c r="L27" s="115"/>
      <c r="Q27" s="59"/>
      <c r="R27" s="29"/>
      <c r="S27" s="29"/>
      <c r="T27" s="29"/>
      <c r="U27" s="29"/>
      <c r="V27" s="29"/>
      <c r="W27" s="29"/>
      <c r="X27" s="29"/>
      <c r="Y27" s="29"/>
      <c r="Z27" s="60"/>
      <c r="BA27" s="19">
        <v>0</v>
      </c>
      <c r="BB27" s="15">
        <f ca="1">MAX(BA10:BA24)</f>
        <v>135.35</v>
      </c>
      <c r="BD27" s="32">
        <f t="shared" si="22"/>
        <v>0.2</v>
      </c>
      <c r="BE27" s="33">
        <f t="shared" si="23"/>
        <v>4.0000000000000008E-2</v>
      </c>
      <c r="BF27" s="33">
        <f t="shared" si="24"/>
        <v>8.0000000000000019E-3</v>
      </c>
      <c r="BG27" s="29"/>
      <c r="BH27" s="25" t="s">
        <v>29</v>
      </c>
      <c r="BI27" s="25" t="s">
        <v>30</v>
      </c>
      <c r="BJ27" s="25" t="s">
        <v>3</v>
      </c>
      <c r="BK27" s="25" t="s">
        <v>28</v>
      </c>
      <c r="BL27" s="29"/>
      <c r="BM27" s="24">
        <f t="shared" si="25"/>
        <v>-1.6528101406380086E-2</v>
      </c>
      <c r="BN27" s="34">
        <f t="shared" si="28"/>
        <v>2.7317813609958338E-4</v>
      </c>
      <c r="BR27" s="24">
        <f t="shared" si="26"/>
        <v>1.0145881237621215E-3</v>
      </c>
      <c r="BS27" s="34">
        <f t="shared" si="27"/>
        <v>1.029389060879142E-6</v>
      </c>
      <c r="BX27" s="1">
        <v>0.65</v>
      </c>
      <c r="BY27" s="2">
        <v>0.86</v>
      </c>
      <c r="BZ27" s="14">
        <v>0.112</v>
      </c>
      <c r="CB27" s="1">
        <v>0.65</v>
      </c>
      <c r="CC27" s="2">
        <v>0.86</v>
      </c>
      <c r="CD27" s="14">
        <v>0.112</v>
      </c>
      <c r="CI27" s="68">
        <f>D21</f>
        <v>0.55000000000000004</v>
      </c>
      <c r="CJ27" s="34">
        <f>E21</f>
        <v>0.63</v>
      </c>
      <c r="CK27" s="74">
        <f>F21</f>
        <v>7.3999999999999996E-2</v>
      </c>
      <c r="CL27" s="29"/>
      <c r="CN27" s="68">
        <f t="shared" si="13"/>
        <v>0.6</v>
      </c>
      <c r="CO27" s="67">
        <v>0.71373087572184457</v>
      </c>
      <c r="CP27" s="68">
        <f t="shared" si="14"/>
        <v>0.6</v>
      </c>
      <c r="CQ27" s="74">
        <v>8.8250213165622371E-2</v>
      </c>
      <c r="CS27" s="19">
        <f t="shared" si="10"/>
        <v>0</v>
      </c>
      <c r="CT27" s="19">
        <f t="shared" si="11"/>
        <v>0</v>
      </c>
      <c r="CU27" s="19">
        <f t="shared" si="12"/>
        <v>0</v>
      </c>
    </row>
    <row r="28" spans="2:99">
      <c r="B28" s="94" t="s">
        <v>61</v>
      </c>
      <c r="C28" s="95"/>
      <c r="D28" s="40" cm="1">
        <f t="array" aca="1" ref="D28" ca="1">INDEX(D10:F24,BA7,1)</f>
        <v>0.15</v>
      </c>
      <c r="E28" s="34" cm="1">
        <f t="array" aca="1" ref="E28" ca="1">INDEX(D10:F24,BA7,2)</f>
        <v>6.5000000000000002E-2</v>
      </c>
      <c r="F28" s="18" cm="1">
        <f t="array" aca="1" ref="F28" ca="1">INDEX(D10:F24,BA7,3)</f>
        <v>2E-3</v>
      </c>
      <c r="G28" s="15">
        <f t="shared" ref="G28:G32" ca="1" si="29">D28*N28</f>
        <v>20.301926080166577</v>
      </c>
      <c r="H28" s="18">
        <f t="shared" ref="H28:H32" ca="1" si="30">$C$1+E28*$C$2</f>
        <v>1.3899999999999999E-2</v>
      </c>
      <c r="I28" s="17">
        <f t="shared" ref="I28:I32" ca="1" si="31">$C$5+($C$5-E28)*(1-$C$3)*(D28/(1-D28))</f>
        <v>1.6646029411764707</v>
      </c>
      <c r="J28" s="18">
        <f t="shared" ref="J28:J32" ca="1" si="32">$C$1+I28*$C$2</f>
        <v>0.10987617647058823</v>
      </c>
      <c r="K28" s="15">
        <f ca="1">IF($C$6=$BB$31,$C$4-(IF($F$9=$BB$34,F28*N28,F28*$C$4))-D28*N28*H28, $C$4-(IF($F$9=$BB$34,F28*N28,F28*$C$4)))</f>
        <v>19.447110879750131</v>
      </c>
      <c r="L28" s="15">
        <f t="shared" ref="L28:L32" ca="1" si="33">K28*(1-$C$3)</f>
        <v>12.640622071837585</v>
      </c>
      <c r="M28" s="15">
        <f t="shared" ref="M28:M32" ca="1" si="34">L28/J28</f>
        <v>115.04424778761063</v>
      </c>
      <c r="N28" s="15">
        <f ca="1">IFERROR(G28+M28,$C$4/$C$1)</f>
        <v>135.3461738677772</v>
      </c>
      <c r="O28" s="18">
        <f ca="1">IF($F$9=$BB$34,J28*(1-D28)+H28*(1-$C$3)*D28+F28*(1-$C$3),J28*(1-D28)+H28*(1-$C$3)*D28+F28*$C$4/N28*(1-$C$3))</f>
        <v>9.6049999999999983E-2</v>
      </c>
      <c r="Q28" s="59"/>
      <c r="R28" s="29"/>
      <c r="S28" s="29"/>
      <c r="T28" s="29"/>
      <c r="U28" s="29"/>
      <c r="V28" s="29"/>
      <c r="W28" s="29"/>
      <c r="X28" s="29"/>
      <c r="Y28" s="29"/>
      <c r="Z28" s="60"/>
      <c r="BA28" s="22">
        <f ca="1">OFFSET(D10,BA7-1,0)</f>
        <v>0.15</v>
      </c>
      <c r="BB28" s="15">
        <f ca="1">MAX(BA11:BA25)</f>
        <v>135.35</v>
      </c>
      <c r="BD28" s="32">
        <f t="shared" si="22"/>
        <v>0.25</v>
      </c>
      <c r="BE28" s="33">
        <f t="shared" si="23"/>
        <v>6.25E-2</v>
      </c>
      <c r="BF28" s="33">
        <f t="shared" si="24"/>
        <v>1.5625E-2</v>
      </c>
      <c r="BG28" s="29"/>
      <c r="BH28" s="50" cm="1">
        <f t="array" ref="BH28:BK28">LINEST(F10:F24,BD23:BF37,TRUE,FALSE)</f>
        <v>0.17202949555890826</v>
      </c>
      <c r="BI28" s="50">
        <v>0.17605939811822088</v>
      </c>
      <c r="BJ28" s="50">
        <v>-2.1684024036965146E-2</v>
      </c>
      <c r="BK28" s="50">
        <v>4.3415032679740978E-4</v>
      </c>
      <c r="BL28" s="29"/>
      <c r="BM28" s="24">
        <f t="shared" si="25"/>
        <v>2.8082542221567142E-2</v>
      </c>
      <c r="BN28" s="34">
        <f t="shared" si="28"/>
        <v>7.8862917762610122E-4</v>
      </c>
      <c r="BR28" s="24">
        <f t="shared" si="26"/>
        <v>9.8593106888804176E-4</v>
      </c>
      <c r="BS28" s="34">
        <f t="shared" si="27"/>
        <v>9.7206007259871654E-7</v>
      </c>
      <c r="BX28" s="1">
        <v>0.7</v>
      </c>
      <c r="BY28" s="2">
        <v>0.92999999999999994</v>
      </c>
      <c r="BZ28" s="14">
        <v>0.128</v>
      </c>
      <c r="CB28" s="1">
        <v>0.7</v>
      </c>
      <c r="CC28" s="2">
        <v>0.92999999999999994</v>
      </c>
      <c r="CD28" s="14">
        <v>0.128</v>
      </c>
      <c r="CI28" s="68">
        <f>D22</f>
        <v>0.6</v>
      </c>
      <c r="CJ28" s="34">
        <f>E21</f>
        <v>0.63</v>
      </c>
      <c r="CK28" s="74">
        <f>F21</f>
        <v>7.3999999999999996E-2</v>
      </c>
      <c r="CL28" s="29"/>
      <c r="CN28" s="68">
        <f t="shared" si="13"/>
        <v>0.65</v>
      </c>
      <c r="CO28" s="67">
        <v>0.82614235317098983</v>
      </c>
      <c r="CP28" s="68">
        <f t="shared" si="14"/>
        <v>0.65</v>
      </c>
      <c r="CQ28" s="74">
        <v>0.10805547225297614</v>
      </c>
      <c r="CS28" s="19">
        <f t="shared" si="10"/>
        <v>0</v>
      </c>
      <c r="CT28" s="19">
        <f t="shared" si="11"/>
        <v>0</v>
      </c>
      <c r="CU28" s="19">
        <f t="shared" si="12"/>
        <v>0</v>
      </c>
    </row>
    <row r="29" spans="2:99" ht="16" thickBot="1">
      <c r="B29" s="94" t="s">
        <v>26</v>
      </c>
      <c r="C29" s="95"/>
      <c r="D29" s="41">
        <v>0.19995814342221419</v>
      </c>
      <c r="E29" s="45">
        <f>BE8</f>
        <v>6.5000000000000002E-2</v>
      </c>
      <c r="F29" s="36">
        <f>BF8</f>
        <v>2E-3</v>
      </c>
      <c r="G29" s="15">
        <f t="shared" ca="1" si="29"/>
        <v>27.56538156680767</v>
      </c>
      <c r="H29" s="18">
        <f t="shared" si="30"/>
        <v>1.3899999999999999E-2</v>
      </c>
      <c r="I29" s="17">
        <f t="shared" si="31"/>
        <v>1.7331265004994603</v>
      </c>
      <c r="J29" s="18">
        <f t="shared" si="32"/>
        <v>0.11398759002996761</v>
      </c>
      <c r="K29" s="15">
        <f t="shared" ref="K29:K31" ca="1" si="35">IF($C$6=$BB$31,$C$4-(IF($F$9=$BB$34,F29*N29,F29*$C$4))-D29*N29*H29, $C$4-(IF($F$9=$BB$34,F29*N29,F29*$C$4)))</f>
        <v>19.341129678850429</v>
      </c>
      <c r="L29" s="15">
        <f t="shared" ca="1" si="33"/>
        <v>12.571734291252779</v>
      </c>
      <c r="M29" s="15">
        <f t="shared" ca="1" si="34"/>
        <v>110.29037711866388</v>
      </c>
      <c r="N29" s="15">
        <f t="shared" ref="N29:N32" ca="1" si="36">IFERROR(G29+M29,$C$4/$C$1)</f>
        <v>137.85575868547156</v>
      </c>
      <c r="O29" s="18">
        <f t="shared" ref="O29:O30" si="37">IF($F$9=$BB$34,J29*(1-D29)+H29*(1-$C$3)*D29+F29*(1-$C$3),J29*(1-D29)+H29*(1-$C$3)*D29+F29*$C$4/N29*(1-$C$3))</f>
        <v>9.4301464980222488E-2</v>
      </c>
      <c r="Q29" s="59"/>
      <c r="R29" s="29"/>
      <c r="S29" s="29"/>
      <c r="T29" s="29"/>
      <c r="U29" s="29"/>
      <c r="V29" s="29"/>
      <c r="W29" s="29"/>
      <c r="X29" s="29"/>
      <c r="Y29" s="29"/>
      <c r="Z29" s="60"/>
      <c r="BA29" s="23">
        <f ca="1">BA28</f>
        <v>0.15</v>
      </c>
      <c r="BB29" s="19">
        <v>0</v>
      </c>
      <c r="BD29" s="32">
        <f t="shared" si="22"/>
        <v>0.3</v>
      </c>
      <c r="BE29" s="33">
        <f t="shared" si="23"/>
        <v>0.09</v>
      </c>
      <c r="BF29" s="33">
        <f t="shared" si="24"/>
        <v>2.7E-2</v>
      </c>
      <c r="BG29" s="29"/>
      <c r="BH29" s="29"/>
      <c r="BI29" s="29"/>
      <c r="BJ29" s="29"/>
      <c r="BK29" s="29"/>
      <c r="BL29" s="29"/>
      <c r="BM29" s="24">
        <f>E16-($BM$8+$BN$8*D16+$BO$8*D16^2+$BP$8*D16^3)</f>
        <v>-1.1734294101073378E-2</v>
      </c>
      <c r="BN29" s="34">
        <f t="shared" si="28"/>
        <v>1.3769365805048548E-4</v>
      </c>
      <c r="BR29" s="24">
        <f>F16-($BR$8+$BS$8*D16+$BT$8*D16^2+$BU$8*D16^3)</f>
        <v>-1.6261922661307895E-3</v>
      </c>
      <c r="BS29" s="34">
        <f t="shared" si="27"/>
        <v>2.6445012864235928E-6</v>
      </c>
      <c r="CI29" s="68">
        <f>D22</f>
        <v>0.6</v>
      </c>
      <c r="CJ29" s="34">
        <f>E22</f>
        <v>0.67999999999999994</v>
      </c>
      <c r="CK29" s="74">
        <f>F22</f>
        <v>8.5999999999999993E-2</v>
      </c>
      <c r="CL29" s="29"/>
      <c r="CN29" s="69">
        <f t="shared" si="13"/>
        <v>0.7</v>
      </c>
      <c r="CO29" s="76">
        <v>0.94141159982715461</v>
      </c>
      <c r="CP29" s="69">
        <f t="shared" si="14"/>
        <v>0.7</v>
      </c>
      <c r="CQ29" s="75">
        <v>0.13016038585739237</v>
      </c>
      <c r="CS29" s="57" t="s">
        <v>78</v>
      </c>
      <c r="CT29" s="57"/>
      <c r="CU29" s="57"/>
    </row>
    <row r="30" spans="2:99">
      <c r="B30" s="94" t="s">
        <v>48</v>
      </c>
      <c r="C30" s="95"/>
      <c r="D30" s="42">
        <v>0.14999970549875019</v>
      </c>
      <c r="E30" s="46">
        <f>BE16</f>
        <v>6.4999793849125131E-2</v>
      </c>
      <c r="F30" s="37">
        <f>BF16</f>
        <v>1.9999882199500077E-3</v>
      </c>
      <c r="G30" s="15">
        <f t="shared" ca="1" si="29"/>
        <v>20.301885660316252</v>
      </c>
      <c r="H30" s="18">
        <f t="shared" si="30"/>
        <v>1.3899987630947509E-2</v>
      </c>
      <c r="I30" s="17">
        <f t="shared" si="31"/>
        <v>1.6646025846211332</v>
      </c>
      <c r="J30" s="18">
        <f t="shared" si="32"/>
        <v>0.10987615507726799</v>
      </c>
      <c r="K30" s="15">
        <f ca="1">IF($C$6=$BB$31,$C$4-(IF($F$9=$BB$34,F30*N30,F30*$C$4))-D30*N30*H30, $C$4-(IF($F$9=$BB$34,F30*N30,F30*$C$4)))</f>
        <v>19.447113294555578</v>
      </c>
      <c r="L30" s="15">
        <f t="shared" ca="1" si="33"/>
        <v>12.640623641461126</v>
      </c>
      <c r="M30" s="15">
        <f t="shared" ca="1" si="34"/>
        <v>115.04428447256718</v>
      </c>
      <c r="N30" s="15">
        <f t="shared" ca="1" si="36"/>
        <v>135.34617013288343</v>
      </c>
      <c r="O30" s="18">
        <f t="shared" si="37"/>
        <v>9.6050002650511238E-2</v>
      </c>
      <c r="Q30" s="59"/>
      <c r="R30" s="29"/>
      <c r="S30" s="29"/>
      <c r="T30" s="29"/>
      <c r="U30" s="29"/>
      <c r="V30" s="29"/>
      <c r="W30" s="29"/>
      <c r="X30" s="29"/>
      <c r="Y30" s="29"/>
      <c r="Z30" s="60"/>
      <c r="BD30" s="32">
        <f t="shared" si="22"/>
        <v>0.35</v>
      </c>
      <c r="BE30" s="33">
        <f t="shared" si="23"/>
        <v>0.12249999999999998</v>
      </c>
      <c r="BF30" s="33">
        <f t="shared" si="24"/>
        <v>4.287499999999999E-2</v>
      </c>
      <c r="BG30" s="29"/>
      <c r="BH30" s="29"/>
      <c r="BI30" s="29"/>
      <c r="BJ30" s="29"/>
      <c r="BK30" s="29"/>
      <c r="BL30" s="29"/>
      <c r="BM30" s="24">
        <f>E17-($BM$8+$BN$8*D17+$BO$8*D17^2+$BP$8*D17^3)</f>
        <v>2.7323083198366127E-2</v>
      </c>
      <c r="BN30" s="34">
        <f t="shared" si="28"/>
        <v>7.4655087546483736E-4</v>
      </c>
      <c r="BR30" s="24">
        <f>F17-($BR$8+$BS$8*D17+$BT$8*D17^2+$BU$8*D17^3)</f>
        <v>3.5112670990230972E-3</v>
      </c>
      <c r="BS30" s="34">
        <f t="shared" si="27"/>
        <v>1.2328996640682076E-5</v>
      </c>
      <c r="CI30" s="82">
        <f>D23</f>
        <v>0.65</v>
      </c>
      <c r="CJ30" s="34">
        <f>E22</f>
        <v>0.67999999999999994</v>
      </c>
      <c r="CK30" s="74">
        <f>F22</f>
        <v>8.5999999999999993E-2</v>
      </c>
      <c r="CS30" s="19">
        <f>SUM(CS14:CS28)</f>
        <v>0</v>
      </c>
      <c r="CT30" s="19">
        <f>SUM(CT14:CT28)</f>
        <v>0</v>
      </c>
      <c r="CU30" s="19">
        <f>SUM(CU14:CU28)</f>
        <v>0</v>
      </c>
    </row>
    <row r="31" spans="2:99" ht="15.75" customHeight="1">
      <c r="B31" s="94" t="s">
        <v>27</v>
      </c>
      <c r="C31" s="95"/>
      <c r="D31" s="43">
        <v>0.17141111328026271</v>
      </c>
      <c r="E31" s="47">
        <f>BH32</f>
        <v>7.4130985153860809E-2</v>
      </c>
      <c r="F31" s="38">
        <f>BI32</f>
        <v>2.756607116029975E-3</v>
      </c>
      <c r="G31" s="15">
        <f t="shared" ca="1" si="29"/>
        <v>23.262214451936579</v>
      </c>
      <c r="H31" s="18">
        <f t="shared" si="30"/>
        <v>1.4447859109231648E-2</v>
      </c>
      <c r="I31" s="17">
        <f t="shared" si="31"/>
        <v>1.6917312305819405</v>
      </c>
      <c r="J31" s="18">
        <f t="shared" si="32"/>
        <v>0.11150387383491642</v>
      </c>
      <c r="K31" s="15">
        <f t="shared" ca="1" si="35"/>
        <v>19.289811454010362</v>
      </c>
      <c r="L31" s="15">
        <f t="shared" ca="1" si="33"/>
        <v>12.538377445106736</v>
      </c>
      <c r="M31" s="15">
        <f t="shared" ca="1" si="34"/>
        <v>112.44790888314822</v>
      </c>
      <c r="N31" s="15">
        <f t="shared" ca="1" si="36"/>
        <v>135.7101233350848</v>
      </c>
      <c r="O31" s="18">
        <f>IF($F$9=$BB$34,J31*(1-D31)+H31*(1-$C$3)*D31+F31*(1-$C$3),J31*(1-D31)+H31*(1-$C$3)*D31+F31*$C$4/N31*(1-$C$3))</f>
        <v>9.5792405660610272E-2</v>
      </c>
      <c r="Q31" s="59"/>
      <c r="R31" s="29"/>
      <c r="S31" s="29"/>
      <c r="T31" s="29"/>
      <c r="U31" s="29"/>
      <c r="V31" s="29"/>
      <c r="W31" s="29"/>
      <c r="X31" s="29"/>
      <c r="Y31" s="29"/>
      <c r="Z31" s="60"/>
      <c r="BA31" s="93" t="s">
        <v>55</v>
      </c>
      <c r="BB31" s="50" t="s">
        <v>56</v>
      </c>
      <c r="BD31" s="32">
        <f t="shared" si="22"/>
        <v>0.4</v>
      </c>
      <c r="BE31" s="33">
        <f t="shared" si="23"/>
        <v>0.16000000000000003</v>
      </c>
      <c r="BF31" s="33">
        <f t="shared" si="24"/>
        <v>6.4000000000000015E-2</v>
      </c>
      <c r="BG31" s="29"/>
      <c r="BH31" s="26" t="s">
        <v>20</v>
      </c>
      <c r="BI31" s="25" t="s">
        <v>21</v>
      </c>
      <c r="BJ31" s="29"/>
      <c r="BK31" s="29"/>
      <c r="BL31" s="29"/>
      <c r="BM31" s="24">
        <f>E18-($BM$11+$BN$11*D18+$BO$11*D18^2+$BP$11*D18^3)</f>
        <v>-2.5883736639104371E-2</v>
      </c>
      <c r="BN31" s="34">
        <f t="shared" si="28"/>
        <v>6.6996782240251408E-4</v>
      </c>
      <c r="BR31" s="24">
        <f>F18-($BR$11+$BS$11*D18+$BT$11*D18^2+$BU$11*D18^3)</f>
        <v>-4.7514346274541049E-3</v>
      </c>
      <c r="BS31" s="34">
        <f t="shared" si="27"/>
        <v>2.2576131018969927E-5</v>
      </c>
      <c r="BX31" s="92" t="s">
        <v>65</v>
      </c>
      <c r="BY31" s="92"/>
      <c r="BZ31" s="92"/>
      <c r="CA31" s="92"/>
      <c r="CB31" s="92"/>
      <c r="CC31" s="92"/>
      <c r="CD31" s="92"/>
      <c r="CE31" s="92"/>
      <c r="CF31" s="92"/>
      <c r="CG31" s="92"/>
      <c r="CI31" s="82">
        <f>D23</f>
        <v>0.65</v>
      </c>
      <c r="CJ31" s="34">
        <f>E23</f>
        <v>0.86</v>
      </c>
      <c r="CK31" s="74">
        <f>F23</f>
        <v>0.112</v>
      </c>
    </row>
    <row r="32" spans="2:99">
      <c r="B32" s="94" t="s">
        <v>33</v>
      </c>
      <c r="C32" s="95"/>
      <c r="D32" s="44">
        <v>0.17439597140023286</v>
      </c>
      <c r="E32" s="48">
        <f>BN3</f>
        <v>8.3944810144515075E-2</v>
      </c>
      <c r="F32" s="39">
        <f>BS3</f>
        <v>2.9813361021872333E-3</v>
      </c>
      <c r="G32" s="15">
        <f t="shared" ca="1" si="29"/>
        <v>23.657025734417655</v>
      </c>
      <c r="H32" s="18">
        <f t="shared" si="30"/>
        <v>1.5036688608670905E-2</v>
      </c>
      <c r="I32" s="17">
        <f t="shared" si="31"/>
        <v>1.6944277192136727</v>
      </c>
      <c r="J32" s="18">
        <f t="shared" si="32"/>
        <v>0.11166566315282035</v>
      </c>
      <c r="K32" s="15">
        <f ca="1">IF($C$6=$BB$31,$C$4-(IF($F$9=$BB$34,F32*N32,F32*$C$4))-D32*N32*H32, $C$4-(IF($F$9=$BB$34,F32*N32,F32*$C$4)))</f>
        <v>19.239854800519641</v>
      </c>
      <c r="L32" s="15">
        <f t="shared" ca="1" si="33"/>
        <v>12.505905620337767</v>
      </c>
      <c r="M32" s="15">
        <f t="shared" ca="1" si="34"/>
        <v>111.9941911169486</v>
      </c>
      <c r="N32" s="15">
        <f t="shared" ca="1" si="36"/>
        <v>135.65121685136626</v>
      </c>
      <c r="O32" s="18">
        <f>IF($F$9=$BB$34,J32*(1-D32)+H32*(1-$C$3)*D32+F32*(1-$C$3),J32*(1-D32)+H32*(1-$C$3)*D32+F32*$C$4/N32*(1-$C$3))</f>
        <v>9.5834009467413536E-2</v>
      </c>
      <c r="Q32" s="59"/>
      <c r="R32" s="29"/>
      <c r="S32" s="29"/>
      <c r="T32" s="29"/>
      <c r="U32" s="29"/>
      <c r="V32" s="29"/>
      <c r="W32" s="29"/>
      <c r="X32" s="29"/>
      <c r="Y32" s="29"/>
      <c r="Z32" s="60"/>
      <c r="AG32" s="92" t="s">
        <v>48</v>
      </c>
      <c r="AH32" s="92"/>
      <c r="AI32" s="92"/>
      <c r="AJ32" s="92"/>
      <c r="AK32" s="92"/>
      <c r="AL32" s="92"/>
      <c r="AM32" s="92"/>
      <c r="AN32" s="92"/>
      <c r="AO32" s="92"/>
      <c r="AP32" s="92"/>
      <c r="AQ32" s="92"/>
      <c r="AR32" s="92"/>
      <c r="BA32" s="93"/>
      <c r="BB32" s="50" t="s">
        <v>57</v>
      </c>
      <c r="BD32" s="32">
        <f t="shared" si="22"/>
        <v>0.45</v>
      </c>
      <c r="BE32" s="33">
        <f t="shared" si="23"/>
        <v>0.20250000000000001</v>
      </c>
      <c r="BF32" s="33">
        <f t="shared" si="24"/>
        <v>9.1125000000000012E-2</v>
      </c>
      <c r="BG32" s="30"/>
      <c r="BH32" s="54">
        <f>BK23+BJ23*D31+BI23*D31^2+BH23*D31^3</f>
        <v>7.4130985153860809E-2</v>
      </c>
      <c r="BI32" s="55">
        <f>BK28+BJ28*D31+BI28*D31^2+BH28*D31^3</f>
        <v>2.756607116029975E-3</v>
      </c>
      <c r="BJ32" s="29"/>
      <c r="BK32" s="29"/>
      <c r="BL32" s="29"/>
      <c r="BM32" s="24">
        <f>E19-($BM$11+$BN$11*D19+$BO$11*D19^2+$BP$11*D19^3)</f>
        <v>2.9746402061651689E-2</v>
      </c>
      <c r="BN32" s="34">
        <f>BM32^2</f>
        <v>8.8484843561343588E-4</v>
      </c>
      <c r="BR32" s="24">
        <f>F19-($BR$11+$BS$11*D19+$BT$11*D19^2+$BU$11*D19^3)</f>
        <v>2.0047806737529192E-3</v>
      </c>
      <c r="BS32" s="34">
        <f t="shared" si="27"/>
        <v>4.0191455498532088E-6</v>
      </c>
      <c r="BX32" s="56" t="s">
        <v>66</v>
      </c>
      <c r="BY32" s="16">
        <v>0</v>
      </c>
      <c r="BZ32" s="23">
        <v>0.1</v>
      </c>
      <c r="CB32" s="105" t="s">
        <v>3</v>
      </c>
      <c r="CC32" s="105"/>
      <c r="CD32" s="105" t="s">
        <v>67</v>
      </c>
      <c r="CE32" s="105"/>
      <c r="CF32" s="105" t="s">
        <v>68</v>
      </c>
      <c r="CG32" s="105"/>
      <c r="CI32" s="82">
        <f>D24</f>
        <v>0.7</v>
      </c>
      <c r="CJ32" s="34">
        <f>E23</f>
        <v>0.86</v>
      </c>
      <c r="CK32" s="74">
        <f>F23</f>
        <v>0.112</v>
      </c>
    </row>
    <row r="33" spans="17:90" ht="16" thickBot="1">
      <c r="Q33" s="61"/>
      <c r="R33" s="62"/>
      <c r="S33" s="62"/>
      <c r="T33" s="62"/>
      <c r="U33" s="62"/>
      <c r="V33" s="62"/>
      <c r="W33" s="62"/>
      <c r="X33" s="62"/>
      <c r="Y33" s="62"/>
      <c r="Z33" s="63"/>
      <c r="BD33" s="32">
        <f t="shared" si="22"/>
        <v>0.5</v>
      </c>
      <c r="BE33" s="33">
        <f t="shared" si="23"/>
        <v>0.25</v>
      </c>
      <c r="BF33" s="33">
        <f t="shared" si="24"/>
        <v>0.125</v>
      </c>
      <c r="BG33" s="28"/>
      <c r="BH33" s="28"/>
      <c r="BI33" s="28"/>
      <c r="BJ33" s="29"/>
      <c r="BK33" s="29"/>
      <c r="BL33" s="29"/>
      <c r="BM33" s="24">
        <f t="shared" ref="BM33:BM36" si="38">E20-($BM$11+$BN$11*D20+$BO$11*D20^2+$BP$11*D20^3)</f>
        <v>-3.412544417334118E-2</v>
      </c>
      <c r="BN33" s="34">
        <f t="shared" si="28"/>
        <v>1.1645459400278254E-3</v>
      </c>
      <c r="BR33" s="24">
        <f t="shared" ref="BR33:BR36" si="39">F20-($BR$11+$BS$11*D20+$BT$11*D20^2+$BU$11*D20^3)</f>
        <v>-3.2838010702268064E-3</v>
      </c>
      <c r="BS33" s="34">
        <f t="shared" si="27"/>
        <v>1.0783349468822719E-5</v>
      </c>
      <c r="BX33" s="56" t="s">
        <v>69</v>
      </c>
      <c r="BY33" s="23">
        <v>0.04</v>
      </c>
      <c r="BZ33" s="23">
        <v>0.08</v>
      </c>
      <c r="CB33" s="23">
        <f>D10</f>
        <v>0</v>
      </c>
      <c r="CC33" s="50">
        <f>IF(CB33&lt;CB34,0, 1)</f>
        <v>0</v>
      </c>
      <c r="CD33" s="19">
        <f>E10</f>
        <v>0</v>
      </c>
      <c r="CE33" s="50">
        <f>IF(CD33&lt;=CD34,0, 1)</f>
        <v>0</v>
      </c>
      <c r="CF33" s="23">
        <f>F10</f>
        <v>0</v>
      </c>
      <c r="CG33" s="50">
        <f>IF(CF33&lt;=CF34,0, 1)</f>
        <v>0</v>
      </c>
      <c r="CI33" s="83">
        <f>D24</f>
        <v>0.7</v>
      </c>
      <c r="CJ33" s="84">
        <f>E24</f>
        <v>0.92999999999999994</v>
      </c>
      <c r="CK33" s="85">
        <f>F24</f>
        <v>0.128</v>
      </c>
    </row>
    <row r="34" spans="17:90" ht="16" thickBot="1">
      <c r="BA34" s="93" t="s">
        <v>58</v>
      </c>
      <c r="BB34" s="50" t="s">
        <v>59</v>
      </c>
      <c r="BD34" s="32">
        <f t="shared" si="22"/>
        <v>0.55000000000000004</v>
      </c>
      <c r="BE34" s="33">
        <f t="shared" si="23"/>
        <v>0.30250000000000005</v>
      </c>
      <c r="BF34" s="33">
        <f t="shared" si="24"/>
        <v>0.16637500000000005</v>
      </c>
      <c r="BG34" s="28"/>
      <c r="BH34" s="28"/>
      <c r="BI34" s="28"/>
      <c r="BJ34" s="29"/>
      <c r="BK34" s="29"/>
      <c r="BL34" s="29"/>
      <c r="BM34" s="24">
        <f>E21-($BM$11+$BN$11*D21+$BO$11*D21^2+$BP$11*D21^3)</f>
        <v>2.4161778588099203E-2</v>
      </c>
      <c r="BN34" s="34">
        <f t="shared" si="28"/>
        <v>5.8379154454032912E-4</v>
      </c>
      <c r="BR34" s="24">
        <f t="shared" si="39"/>
        <v>3.3191057726377204E-3</v>
      </c>
      <c r="BS34" s="34">
        <f t="shared" si="27"/>
        <v>1.1016463129957039E-5</v>
      </c>
      <c r="BX34" s="56" t="s">
        <v>70</v>
      </c>
      <c r="BY34" s="23">
        <v>0</v>
      </c>
      <c r="BZ34" s="23">
        <v>1</v>
      </c>
      <c r="CB34" s="23">
        <f t="shared" ref="CB34:CB47" si="40">D11</f>
        <v>0.05</v>
      </c>
      <c r="CC34" s="50">
        <f t="shared" ref="CC34:CC46" si="41">IF(CB34&lt;CB35,0, 1)</f>
        <v>0</v>
      </c>
      <c r="CD34" s="19">
        <f t="shared" ref="CD34:CD47" si="42">E11</f>
        <v>0</v>
      </c>
      <c r="CE34" s="50">
        <f t="shared" ref="CE34:CE46" si="43">IF(CD34&lt;=CD35,0, 1)</f>
        <v>0</v>
      </c>
      <c r="CF34" s="23">
        <f t="shared" ref="CF34:CF47" si="44">F11</f>
        <v>0</v>
      </c>
      <c r="CG34" s="50">
        <f t="shared" ref="CG34:CG46" si="45">IF(CF34&lt;=CF35,0, 1)</f>
        <v>0</v>
      </c>
      <c r="CI34" s="102" t="s">
        <v>48</v>
      </c>
      <c r="CJ34" s="103"/>
      <c r="CK34" s="103"/>
      <c r="CL34" s="104"/>
    </row>
    <row r="35" spans="17:90" ht="17">
      <c r="BA35" s="93"/>
      <c r="BB35" s="50" t="s">
        <v>60</v>
      </c>
      <c r="BD35" s="32">
        <f t="shared" si="22"/>
        <v>0.6</v>
      </c>
      <c r="BE35" s="33">
        <f t="shared" si="23"/>
        <v>0.36</v>
      </c>
      <c r="BF35" s="33">
        <f t="shared" si="24"/>
        <v>0.216</v>
      </c>
      <c r="BG35" s="28"/>
      <c r="BH35" s="28"/>
      <c r="BI35" s="28"/>
      <c r="BJ35" s="29"/>
      <c r="BK35" s="29"/>
      <c r="BL35" s="29"/>
      <c r="BM35" s="24">
        <f t="shared" si="38"/>
        <v>-3.3730875721844633E-2</v>
      </c>
      <c r="BN35" s="34">
        <f t="shared" si="28"/>
        <v>1.1377719769625277E-3</v>
      </c>
      <c r="BR35" s="24">
        <f>F22-($BR$11+$BS$11*D22+$BT$11*D22^2+$BU$11*D22^3)</f>
        <v>-2.2502131656223778E-3</v>
      </c>
      <c r="BS35" s="34">
        <f t="shared" si="27"/>
        <v>5.0634592907402825E-6</v>
      </c>
      <c r="BX35" s="56" t="s">
        <v>71</v>
      </c>
      <c r="CB35" s="23">
        <f t="shared" si="40"/>
        <v>0.1</v>
      </c>
      <c r="CC35" s="50">
        <f t="shared" si="41"/>
        <v>0</v>
      </c>
      <c r="CD35" s="19">
        <f t="shared" si="42"/>
        <v>0.03</v>
      </c>
      <c r="CE35" s="50">
        <f t="shared" si="43"/>
        <v>0</v>
      </c>
      <c r="CF35" s="23">
        <f t="shared" si="44"/>
        <v>0</v>
      </c>
      <c r="CG35" s="50">
        <f t="shared" si="45"/>
        <v>0</v>
      </c>
      <c r="CI35" s="64" t="s">
        <v>3</v>
      </c>
      <c r="CJ35" s="65" t="s">
        <v>5</v>
      </c>
      <c r="CK35" s="64" t="s">
        <v>3</v>
      </c>
      <c r="CL35" s="71" t="s">
        <v>21</v>
      </c>
    </row>
    <row r="36" spans="17:90">
      <c r="BD36" s="32">
        <f t="shared" si="22"/>
        <v>0.65</v>
      </c>
      <c r="BE36" s="33">
        <f t="shared" si="23"/>
        <v>0.42250000000000004</v>
      </c>
      <c r="BF36" s="33">
        <f t="shared" si="24"/>
        <v>0.27462500000000006</v>
      </c>
      <c r="BG36" s="29"/>
      <c r="BH36" s="29"/>
      <c r="BI36" s="29"/>
      <c r="BJ36" s="29"/>
      <c r="BK36" s="29"/>
      <c r="BL36" s="29"/>
      <c r="BM36" s="24">
        <f t="shared" si="38"/>
        <v>3.3857646829010157E-2</v>
      </c>
      <c r="BN36" s="34">
        <f t="shared" si="28"/>
        <v>1.1463402487979816E-3</v>
      </c>
      <c r="BR36" s="24">
        <f t="shared" si="39"/>
        <v>3.9445277470238627E-3</v>
      </c>
      <c r="BS36" s="34">
        <f t="shared" si="27"/>
        <v>1.5559299147041151E-5</v>
      </c>
      <c r="BX36" s="56" t="s">
        <v>72</v>
      </c>
      <c r="CB36" s="23">
        <f t="shared" si="40"/>
        <v>0.15</v>
      </c>
      <c r="CC36" s="50">
        <f t="shared" si="41"/>
        <v>0</v>
      </c>
      <c r="CD36" s="19">
        <f t="shared" si="42"/>
        <v>6.5000000000000002E-2</v>
      </c>
      <c r="CE36" s="50">
        <f t="shared" si="43"/>
        <v>0</v>
      </c>
      <c r="CF36" s="23">
        <f t="shared" si="44"/>
        <v>2E-3</v>
      </c>
      <c r="CG36" s="50">
        <f t="shared" si="45"/>
        <v>0</v>
      </c>
      <c r="CI36" s="86"/>
      <c r="CJ36" s="67">
        <f>$E$30</f>
        <v>6.4999793849125131E-2</v>
      </c>
      <c r="CK36" s="86"/>
      <c r="CL36" s="74">
        <f>$F$30</f>
        <v>1.9999882199500077E-3</v>
      </c>
    </row>
    <row r="37" spans="17:90">
      <c r="BD37" s="32">
        <f t="shared" si="22"/>
        <v>0.7</v>
      </c>
      <c r="BE37" s="33">
        <f t="shared" si="23"/>
        <v>0.48999999999999994</v>
      </c>
      <c r="BF37" s="33">
        <f t="shared" si="24"/>
        <v>0.34299999999999992</v>
      </c>
      <c r="BG37" s="30"/>
      <c r="BH37" s="30"/>
      <c r="BI37" s="30"/>
      <c r="BJ37" s="30"/>
      <c r="BK37" s="30"/>
      <c r="BL37" s="30"/>
      <c r="BM37" s="24">
        <f>E24-($BM$11+$BN$11*D24+$BO$11*D24^2+$BP$11*D24^3)</f>
        <v>-1.1411599827154673E-2</v>
      </c>
      <c r="BN37" s="34">
        <f t="shared" si="28"/>
        <v>1.3022461061511654E-4</v>
      </c>
      <c r="BR37" s="24">
        <f>F24-($BR$11+$BS$11*D24+$BT$11*D24^2+$BU$11*D24^3)</f>
        <v>-2.1603858573923662E-3</v>
      </c>
      <c r="BS37" s="34">
        <f t="shared" si="27"/>
        <v>4.6672670528209491E-6</v>
      </c>
      <c r="CB37" s="23">
        <f t="shared" si="40"/>
        <v>0.2</v>
      </c>
      <c r="CC37" s="50">
        <f t="shared" si="41"/>
        <v>0</v>
      </c>
      <c r="CD37" s="19">
        <f t="shared" si="42"/>
        <v>8.4999999999999992E-2</v>
      </c>
      <c r="CE37" s="50">
        <f t="shared" si="43"/>
        <v>0</v>
      </c>
      <c r="CF37" s="23">
        <f t="shared" si="44"/>
        <v>5.4999999999999997E-3</v>
      </c>
      <c r="CG37" s="50">
        <f t="shared" si="45"/>
        <v>0</v>
      </c>
      <c r="CI37" s="68">
        <f t="shared" ref="CI37:CI51" si="46">$D10</f>
        <v>0</v>
      </c>
      <c r="CJ37" s="67">
        <f t="dataTable" ref="CJ37:CJ51" dt2D="0" dtr="0" r1="D30" ca="1"/>
        <v>0</v>
      </c>
      <c r="CK37" s="68">
        <f t="shared" ref="CK37:CK51" si="47">$D10</f>
        <v>0</v>
      </c>
      <c r="CL37" s="74">
        <f t="dataTable" ref="CL37:CL51" dt2D="0" dtr="0" r1="D30"/>
        <v>0</v>
      </c>
    </row>
    <row r="38" spans="17:90">
      <c r="BD38" s="31"/>
      <c r="BE38" s="28"/>
      <c r="BF38" s="28"/>
      <c r="BG38" s="28"/>
      <c r="BH38" s="28"/>
      <c r="BI38" s="28"/>
      <c r="BJ38" s="28"/>
      <c r="BK38" s="28"/>
      <c r="BL38" s="28"/>
      <c r="CB38" s="23">
        <f t="shared" si="40"/>
        <v>0.25</v>
      </c>
      <c r="CC38" s="50">
        <f t="shared" si="41"/>
        <v>0</v>
      </c>
      <c r="CD38" s="19">
        <f t="shared" si="42"/>
        <v>0.16999999999999998</v>
      </c>
      <c r="CE38" s="50">
        <f t="shared" si="43"/>
        <v>0</v>
      </c>
      <c r="CF38" s="23">
        <f t="shared" si="44"/>
        <v>9.4999999999999998E-3</v>
      </c>
      <c r="CG38" s="50">
        <f t="shared" si="45"/>
        <v>0</v>
      </c>
      <c r="CI38" s="68">
        <f t="shared" si="46"/>
        <v>0.05</v>
      </c>
      <c r="CJ38" s="67">
        <v>0</v>
      </c>
      <c r="CK38" s="68">
        <f t="shared" si="47"/>
        <v>0.05</v>
      </c>
      <c r="CL38" s="74">
        <v>0</v>
      </c>
    </row>
    <row r="39" spans="17:90">
      <c r="BD39" s="31"/>
      <c r="BE39" s="28"/>
      <c r="BF39" s="28"/>
      <c r="BG39" s="28"/>
      <c r="BH39" s="28"/>
      <c r="BI39" s="28"/>
      <c r="BJ39" s="28"/>
      <c r="BK39" s="28"/>
      <c r="BL39" s="28"/>
      <c r="CB39" s="23">
        <f t="shared" si="40"/>
        <v>0.3</v>
      </c>
      <c r="CC39" s="50">
        <f t="shared" si="41"/>
        <v>0</v>
      </c>
      <c r="CD39" s="19">
        <f t="shared" si="42"/>
        <v>0.18000000000000002</v>
      </c>
      <c r="CE39" s="50">
        <f t="shared" si="43"/>
        <v>0</v>
      </c>
      <c r="CF39" s="23">
        <f t="shared" si="44"/>
        <v>1.2500000000000001E-2</v>
      </c>
      <c r="CG39" s="50">
        <f t="shared" si="45"/>
        <v>0</v>
      </c>
      <c r="CI39" s="68">
        <f t="shared" si="46"/>
        <v>0.1</v>
      </c>
      <c r="CJ39" s="67">
        <v>0.03</v>
      </c>
      <c r="CK39" s="68">
        <f t="shared" si="47"/>
        <v>0.1</v>
      </c>
      <c r="CL39" s="74">
        <v>0</v>
      </c>
    </row>
    <row r="40" spans="17:90">
      <c r="BD40" s="31"/>
      <c r="BE40" s="29"/>
      <c r="BF40" s="29"/>
      <c r="BG40" s="29"/>
      <c r="BH40" s="29"/>
      <c r="BI40" s="29"/>
      <c r="BJ40" s="29"/>
      <c r="BK40" s="29"/>
      <c r="BL40" s="29"/>
      <c r="CB40" s="23">
        <f t="shared" si="40"/>
        <v>0.35</v>
      </c>
      <c r="CC40" s="50">
        <f t="shared" si="41"/>
        <v>0</v>
      </c>
      <c r="CD40" s="19">
        <f t="shared" si="42"/>
        <v>0.28000000000000003</v>
      </c>
      <c r="CE40" s="50">
        <f t="shared" si="43"/>
        <v>0</v>
      </c>
      <c r="CF40" s="23">
        <f t="shared" si="44"/>
        <v>2.4999999999999998E-2</v>
      </c>
      <c r="CG40" s="50">
        <f t="shared" si="45"/>
        <v>0</v>
      </c>
      <c r="CI40" s="68">
        <f t="shared" si="46"/>
        <v>0.15</v>
      </c>
      <c r="CJ40" s="67">
        <v>6.5000000000000002E-2</v>
      </c>
      <c r="CK40" s="68">
        <f t="shared" si="47"/>
        <v>0.15</v>
      </c>
      <c r="CL40" s="74">
        <v>2E-3</v>
      </c>
    </row>
    <row r="41" spans="17:90">
      <c r="BD41" s="29"/>
      <c r="BE41" s="29"/>
      <c r="BF41" s="29"/>
      <c r="BG41" s="29"/>
      <c r="BH41" s="29"/>
      <c r="BI41" s="29"/>
      <c r="BJ41" s="29"/>
      <c r="BK41" s="29"/>
      <c r="BL41" s="29"/>
      <c r="CB41" s="23">
        <f t="shared" si="40"/>
        <v>0.4</v>
      </c>
      <c r="CC41" s="50">
        <f t="shared" si="41"/>
        <v>0</v>
      </c>
      <c r="CD41" s="19">
        <f t="shared" si="42"/>
        <v>0.30000000000000004</v>
      </c>
      <c r="CE41" s="50">
        <f t="shared" si="43"/>
        <v>0</v>
      </c>
      <c r="CF41" s="23">
        <f t="shared" si="44"/>
        <v>2.6000000000000002E-2</v>
      </c>
      <c r="CG41" s="50">
        <f t="shared" si="45"/>
        <v>0</v>
      </c>
      <c r="CI41" s="68">
        <f t="shared" si="46"/>
        <v>0.2</v>
      </c>
      <c r="CJ41" s="67">
        <v>8.4999999999999992E-2</v>
      </c>
      <c r="CK41" s="68">
        <f t="shared" si="47"/>
        <v>0.2</v>
      </c>
      <c r="CL41" s="74">
        <v>5.4999999999999997E-3</v>
      </c>
    </row>
    <row r="42" spans="17:90">
      <c r="BD42" s="29"/>
      <c r="BE42" s="29"/>
      <c r="BF42" s="29"/>
      <c r="BG42" s="29"/>
      <c r="BH42" s="29"/>
      <c r="BI42" s="29"/>
      <c r="BJ42" s="29"/>
      <c r="BK42" s="29"/>
      <c r="BL42" s="29"/>
      <c r="CB42" s="23">
        <f t="shared" si="40"/>
        <v>0.45</v>
      </c>
      <c r="CC42" s="50">
        <f t="shared" si="41"/>
        <v>0</v>
      </c>
      <c r="CD42" s="19">
        <f t="shared" si="42"/>
        <v>0.43999999999999995</v>
      </c>
      <c r="CE42" s="50">
        <f t="shared" si="43"/>
        <v>0</v>
      </c>
      <c r="CF42" s="23">
        <f t="shared" si="44"/>
        <v>4.3999999999999997E-2</v>
      </c>
      <c r="CG42" s="50">
        <f t="shared" si="45"/>
        <v>0</v>
      </c>
      <c r="CI42" s="68">
        <f t="shared" si="46"/>
        <v>0.25</v>
      </c>
      <c r="CJ42" s="67">
        <v>0.16999999999999998</v>
      </c>
      <c r="CK42" s="68">
        <f t="shared" si="47"/>
        <v>0.25</v>
      </c>
      <c r="CL42" s="74">
        <v>9.4999999999999998E-3</v>
      </c>
    </row>
    <row r="43" spans="17:90">
      <c r="CB43" s="23">
        <f t="shared" si="40"/>
        <v>0.5</v>
      </c>
      <c r="CC43" s="50">
        <f t="shared" si="41"/>
        <v>0</v>
      </c>
      <c r="CD43" s="19">
        <f t="shared" si="42"/>
        <v>0.47</v>
      </c>
      <c r="CE43" s="50">
        <f t="shared" si="43"/>
        <v>0</v>
      </c>
      <c r="CF43" s="23">
        <f t="shared" si="44"/>
        <v>5.2000000000000005E-2</v>
      </c>
      <c r="CG43" s="50">
        <f t="shared" si="45"/>
        <v>0</v>
      </c>
      <c r="CI43" s="68">
        <f t="shared" si="46"/>
        <v>0.3</v>
      </c>
      <c r="CJ43" s="67">
        <v>0.18000000000000002</v>
      </c>
      <c r="CK43" s="68">
        <f t="shared" si="47"/>
        <v>0.3</v>
      </c>
      <c r="CL43" s="74">
        <v>1.2500000000000001E-2</v>
      </c>
    </row>
    <row r="44" spans="17:90">
      <c r="CB44" s="23">
        <f t="shared" si="40"/>
        <v>0.55000000000000004</v>
      </c>
      <c r="CC44" s="50">
        <f t="shared" si="41"/>
        <v>0</v>
      </c>
      <c r="CD44" s="19">
        <f t="shared" si="42"/>
        <v>0.63</v>
      </c>
      <c r="CE44" s="50">
        <f t="shared" si="43"/>
        <v>0</v>
      </c>
      <c r="CF44" s="23">
        <f t="shared" si="44"/>
        <v>7.3999999999999996E-2</v>
      </c>
      <c r="CG44" s="50">
        <f t="shared" si="45"/>
        <v>0</v>
      </c>
      <c r="CI44" s="68">
        <f t="shared" si="46"/>
        <v>0.35</v>
      </c>
      <c r="CJ44" s="67">
        <v>0.28000000000000003</v>
      </c>
      <c r="CK44" s="68">
        <f t="shared" si="47"/>
        <v>0.35</v>
      </c>
      <c r="CL44" s="74">
        <v>2.4999999999999998E-2</v>
      </c>
    </row>
    <row r="45" spans="17:90">
      <c r="CB45" s="23">
        <f t="shared" si="40"/>
        <v>0.6</v>
      </c>
      <c r="CC45" s="50">
        <f t="shared" si="41"/>
        <v>0</v>
      </c>
      <c r="CD45" s="19">
        <f t="shared" si="42"/>
        <v>0.67999999999999994</v>
      </c>
      <c r="CE45" s="50">
        <f t="shared" si="43"/>
        <v>0</v>
      </c>
      <c r="CF45" s="23">
        <f t="shared" si="44"/>
        <v>8.5999999999999993E-2</v>
      </c>
      <c r="CG45" s="50">
        <f t="shared" si="45"/>
        <v>0</v>
      </c>
      <c r="CI45" s="68">
        <f t="shared" si="46"/>
        <v>0.4</v>
      </c>
      <c r="CJ45" s="67">
        <v>0.30000000000000004</v>
      </c>
      <c r="CK45" s="68">
        <f t="shared" si="47"/>
        <v>0.4</v>
      </c>
      <c r="CL45" s="74">
        <v>2.6000000000000002E-2</v>
      </c>
    </row>
    <row r="46" spans="17:90">
      <c r="CB46" s="23">
        <f t="shared" si="40"/>
        <v>0.65</v>
      </c>
      <c r="CC46" s="50">
        <f t="shared" si="41"/>
        <v>0</v>
      </c>
      <c r="CD46" s="19">
        <f t="shared" si="42"/>
        <v>0.86</v>
      </c>
      <c r="CE46" s="50">
        <f t="shared" si="43"/>
        <v>0</v>
      </c>
      <c r="CF46" s="23">
        <f t="shared" si="44"/>
        <v>0.112</v>
      </c>
      <c r="CG46" s="50">
        <f t="shared" si="45"/>
        <v>0</v>
      </c>
      <c r="CI46" s="68">
        <f t="shared" si="46"/>
        <v>0.45</v>
      </c>
      <c r="CJ46" s="67">
        <v>0.43999999999999995</v>
      </c>
      <c r="CK46" s="68">
        <f t="shared" si="47"/>
        <v>0.45</v>
      </c>
      <c r="CL46" s="74">
        <v>4.3999999999999997E-2</v>
      </c>
    </row>
    <row r="47" spans="17:90">
      <c r="CB47" s="23">
        <f t="shared" si="40"/>
        <v>0.7</v>
      </c>
      <c r="CC47" s="50"/>
      <c r="CD47" s="19">
        <f t="shared" si="42"/>
        <v>0.92999999999999994</v>
      </c>
      <c r="CE47" s="50"/>
      <c r="CF47" s="23">
        <f t="shared" si="44"/>
        <v>0.128</v>
      </c>
      <c r="CG47" s="50"/>
      <c r="CI47" s="68">
        <f t="shared" si="46"/>
        <v>0.5</v>
      </c>
      <c r="CJ47" s="67">
        <v>0.47</v>
      </c>
      <c r="CK47" s="68">
        <f t="shared" si="47"/>
        <v>0.5</v>
      </c>
      <c r="CL47" s="74">
        <v>5.2000000000000005E-2</v>
      </c>
    </row>
    <row r="48" spans="17:90">
      <c r="CB48" s="49" t="s">
        <v>79</v>
      </c>
      <c r="CC48" s="87">
        <f>SUM(CC33:CC46)</f>
        <v>0</v>
      </c>
      <c r="CD48" s="19"/>
      <c r="CE48" s="19">
        <f>SUM(CE33:CE46)</f>
        <v>0</v>
      </c>
      <c r="CF48" s="19"/>
      <c r="CG48" s="87">
        <f>SUM(CG33:CG46)</f>
        <v>0</v>
      </c>
      <c r="CI48" s="68">
        <f t="shared" si="46"/>
        <v>0.55000000000000004</v>
      </c>
      <c r="CJ48" s="67">
        <v>0.63</v>
      </c>
      <c r="CK48" s="68">
        <f t="shared" si="47"/>
        <v>0.55000000000000004</v>
      </c>
      <c r="CL48" s="74">
        <v>7.3999999999999996E-2</v>
      </c>
    </row>
    <row r="49" spans="33:90">
      <c r="AG49" s="92" t="s">
        <v>27</v>
      </c>
      <c r="AH49" s="92"/>
      <c r="AI49" s="92"/>
      <c r="AJ49" s="92"/>
      <c r="AK49" s="92"/>
      <c r="AL49" s="92"/>
      <c r="AM49" s="92"/>
      <c r="AN49" s="92"/>
      <c r="AO49" s="92"/>
      <c r="AP49" s="92"/>
      <c r="AQ49" s="92"/>
      <c r="AR49" s="92"/>
      <c r="CI49" s="68">
        <f t="shared" si="46"/>
        <v>0.6</v>
      </c>
      <c r="CJ49" s="67">
        <v>0.67999999999999994</v>
      </c>
      <c r="CK49" s="68">
        <f t="shared" si="47"/>
        <v>0.6</v>
      </c>
      <c r="CL49" s="74">
        <v>8.5999999999999993E-2</v>
      </c>
    </row>
    <row r="50" spans="33:90">
      <c r="CI50" s="68">
        <f t="shared" si="46"/>
        <v>0.65</v>
      </c>
      <c r="CJ50" s="67">
        <v>0.86</v>
      </c>
      <c r="CK50" s="68">
        <f t="shared" si="47"/>
        <v>0.65</v>
      </c>
      <c r="CL50" s="74">
        <v>0.112</v>
      </c>
    </row>
    <row r="51" spans="33:90" ht="16" thickBot="1">
      <c r="CI51" s="69">
        <f t="shared" si="46"/>
        <v>0.7</v>
      </c>
      <c r="CJ51" s="76">
        <v>0.92999999999999994</v>
      </c>
      <c r="CK51" s="69">
        <f t="shared" si="47"/>
        <v>0.7</v>
      </c>
      <c r="CL51" s="75">
        <v>0.128</v>
      </c>
    </row>
    <row r="52" spans="33:90" ht="16" thickBot="1">
      <c r="CI52" s="102" t="s">
        <v>27</v>
      </c>
      <c r="CJ52" s="103"/>
      <c r="CK52" s="103"/>
      <c r="CL52" s="104"/>
    </row>
    <row r="53" spans="33:90" ht="17">
      <c r="CI53" s="64" t="s">
        <v>3</v>
      </c>
      <c r="CJ53" s="65" t="s">
        <v>5</v>
      </c>
      <c r="CK53" s="64" t="s">
        <v>3</v>
      </c>
      <c r="CL53" s="71" t="s">
        <v>21</v>
      </c>
    </row>
    <row r="54" spans="33:90">
      <c r="CI54" s="66"/>
      <c r="CJ54" s="67">
        <f>$E$31</f>
        <v>7.4130985153860809E-2</v>
      </c>
      <c r="CK54" s="66"/>
      <c r="CL54" s="70">
        <f>$F$31</f>
        <v>2.756607116029975E-3</v>
      </c>
    </row>
    <row r="55" spans="33:90">
      <c r="CI55" s="68">
        <f>$D10</f>
        <v>0</v>
      </c>
      <c r="CJ55" s="67">
        <f t="dataTable" ref="CJ55:CJ69" dt2D="0" dtr="0" r1="D31"/>
        <v>-3.8545751633985697E-3</v>
      </c>
      <c r="CK55" s="68">
        <f>$D10</f>
        <v>0</v>
      </c>
      <c r="CL55" s="74">
        <f t="dataTable" ref="CL55:CL69" dt2D="0" dtr="0" r1="D31" ca="1"/>
        <v>4.3415032679740978E-4</v>
      </c>
    </row>
    <row r="56" spans="33:90">
      <c r="CI56" s="68">
        <f t="shared" ref="CI56:CI69" si="48">$D11</f>
        <v>0.05</v>
      </c>
      <c r="CJ56" s="67">
        <v>8.7329598506070243E-3</v>
      </c>
      <c r="CK56" s="68">
        <f t="shared" ref="CK56:CK69" si="49">$D11</f>
        <v>0.05</v>
      </c>
      <c r="CL56" s="74">
        <v>-1.8839869281043179E-4</v>
      </c>
    </row>
    <row r="57" spans="33:90">
      <c r="CI57" s="68">
        <f t="shared" si="48"/>
        <v>0.1</v>
      </c>
      <c r="CJ57" s="67">
        <v>2.9669180492710012E-2</v>
      </c>
      <c r="CK57" s="68">
        <f t="shared" si="49"/>
        <v>0.1</v>
      </c>
      <c r="CL57" s="74">
        <v>1.9837139984201247E-4</v>
      </c>
    </row>
    <row r="58" spans="33:90">
      <c r="CI58" s="68">
        <f t="shared" si="48"/>
        <v>0.15</v>
      </c>
      <c r="CJ58" s="67">
        <v>5.8996193349134605E-2</v>
      </c>
      <c r="CK58" s="68">
        <f t="shared" si="49"/>
        <v>0.15</v>
      </c>
      <c r="CL58" s="74">
        <v>1.7234827264239235E-3</v>
      </c>
    </row>
    <row r="59" spans="33:90">
      <c r="CI59" s="68">
        <f t="shared" si="48"/>
        <v>0.2</v>
      </c>
      <c r="CJ59" s="67">
        <v>9.6756105006105098E-2</v>
      </c>
      <c r="CK59" s="68">
        <f t="shared" si="49"/>
        <v>0.2</v>
      </c>
      <c r="CL59" s="74">
        <v>4.5159574086044837E-3</v>
      </c>
    </row>
    <row r="60" spans="33:90">
      <c r="CI60" s="68">
        <f t="shared" si="48"/>
        <v>0.25</v>
      </c>
      <c r="CJ60" s="67">
        <v>0.14299102204984562</v>
      </c>
      <c r="CK60" s="68">
        <f t="shared" si="49"/>
        <v>0.25</v>
      </c>
      <c r="CL60" s="74">
        <v>8.7048175680528705E-3</v>
      </c>
    </row>
    <row r="61" spans="33:90">
      <c r="CI61" s="68">
        <f t="shared" si="48"/>
        <v>0.3</v>
      </c>
      <c r="CJ61" s="67">
        <v>0.19774305106658049</v>
      </c>
      <c r="CK61" s="68">
        <f t="shared" si="49"/>
        <v>0.3</v>
      </c>
      <c r="CL61" s="74">
        <v>1.4419085326438269E-2</v>
      </c>
    </row>
    <row r="62" spans="33:90">
      <c r="CI62" s="68">
        <f t="shared" si="48"/>
        <v>0.35</v>
      </c>
      <c r="CJ62" s="67">
        <v>0.26105429864253393</v>
      </c>
      <c r="CK62" s="68">
        <f t="shared" si="49"/>
        <v>0.35</v>
      </c>
      <c r="CL62" s="74">
        <v>2.1787782805429853E-2</v>
      </c>
    </row>
    <row r="63" spans="33:90">
      <c r="CI63" s="68">
        <f t="shared" si="48"/>
        <v>0.4</v>
      </c>
      <c r="CJ63" s="67">
        <v>0.33296687136393022</v>
      </c>
      <c r="CK63" s="68">
        <f t="shared" si="49"/>
        <v>0.4</v>
      </c>
      <c r="CL63" s="74">
        <v>3.093993212669683E-2</v>
      </c>
    </row>
    <row r="64" spans="33:90">
      <c r="CI64" s="68">
        <f t="shared" si="48"/>
        <v>0.45</v>
      </c>
      <c r="CJ64" s="67">
        <v>0.41352287581699343</v>
      </c>
      <c r="CK64" s="68">
        <f t="shared" si="49"/>
        <v>0.45</v>
      </c>
      <c r="CL64" s="74">
        <v>4.200455541190834E-2</v>
      </c>
    </row>
    <row r="65" spans="33:90">
      <c r="CI65" s="68">
        <f t="shared" si="48"/>
        <v>0.5</v>
      </c>
      <c r="CJ65" s="67">
        <v>0.50276441858794796</v>
      </c>
      <c r="CK65" s="68">
        <f t="shared" si="49"/>
        <v>0.5</v>
      </c>
      <c r="CL65" s="74">
        <v>5.5110674782733585E-2</v>
      </c>
    </row>
    <row r="66" spans="33:90">
      <c r="CI66" s="68">
        <f t="shared" si="48"/>
        <v>0.55000000000000004</v>
      </c>
      <c r="CJ66" s="67">
        <v>0.60073360626301819</v>
      </c>
      <c r="CK66" s="68">
        <f t="shared" si="49"/>
        <v>0.55000000000000004</v>
      </c>
      <c r="CL66" s="74">
        <v>7.0387312360841781E-2</v>
      </c>
    </row>
    <row r="67" spans="33:90">
      <c r="CI67" s="68">
        <f t="shared" si="48"/>
        <v>0.6</v>
      </c>
      <c r="CJ67" s="67">
        <v>0.70747254542842786</v>
      </c>
      <c r="CK67" s="68">
        <f t="shared" si="49"/>
        <v>0.6</v>
      </c>
      <c r="CL67" s="74">
        <v>8.7963490267902025E-2</v>
      </c>
    </row>
    <row r="68" spans="33:90">
      <c r="AG68" s="92" t="s">
        <v>74</v>
      </c>
      <c r="AH68" s="92"/>
      <c r="AI68" s="92"/>
      <c r="AJ68" s="92"/>
      <c r="AK68" s="92"/>
      <c r="AL68" s="92"/>
      <c r="AM68" s="92"/>
      <c r="AN68" s="92"/>
      <c r="AO68" s="92"/>
      <c r="AP68" s="92"/>
      <c r="AQ68" s="92"/>
      <c r="AR68" s="92"/>
      <c r="CI68" s="68">
        <f t="shared" si="48"/>
        <v>0.65</v>
      </c>
      <c r="CJ68" s="67">
        <v>0.82302334267040167</v>
      </c>
      <c r="CK68" s="68">
        <f t="shared" si="49"/>
        <v>0.65</v>
      </c>
      <c r="CL68" s="74">
        <v>0.10796823062558358</v>
      </c>
    </row>
    <row r="69" spans="33:90" ht="16" thickBot="1">
      <c r="CI69" s="69">
        <f t="shared" si="48"/>
        <v>0.7</v>
      </c>
      <c r="CJ69" s="76">
        <v>0.94742810457516335</v>
      </c>
      <c r="CK69" s="69">
        <f t="shared" si="49"/>
        <v>0.7</v>
      </c>
      <c r="CL69" s="75">
        <v>0.13053055555555554</v>
      </c>
    </row>
  </sheetData>
  <mergeCells count="80">
    <mergeCell ref="CS12:CU12"/>
    <mergeCell ref="CT13:CU13"/>
    <mergeCell ref="G1:K2"/>
    <mergeCell ref="G6:K6"/>
    <mergeCell ref="BD6:BF6"/>
    <mergeCell ref="L7:L9"/>
    <mergeCell ref="M7:M9"/>
    <mergeCell ref="N7:N9"/>
    <mergeCell ref="G7:G9"/>
    <mergeCell ref="CN12:CQ12"/>
    <mergeCell ref="BM5:BP5"/>
    <mergeCell ref="BM6:BP6"/>
    <mergeCell ref="CI3:CK3"/>
    <mergeCell ref="BA1:CU1"/>
    <mergeCell ref="B32:C32"/>
    <mergeCell ref="BD14:BF14"/>
    <mergeCell ref="BD21:BF21"/>
    <mergeCell ref="BH21:BK21"/>
    <mergeCell ref="BH26:BK26"/>
    <mergeCell ref="BD17:BF17"/>
    <mergeCell ref="B29:C29"/>
    <mergeCell ref="B30:C30"/>
    <mergeCell ref="B31:C31"/>
    <mergeCell ref="B28:C28"/>
    <mergeCell ref="BA31:BA32"/>
    <mergeCell ref="F27:L27"/>
    <mergeCell ref="Q25:Z25"/>
    <mergeCell ref="A1:B1"/>
    <mergeCell ref="A2:B2"/>
    <mergeCell ref="A3:B3"/>
    <mergeCell ref="A4:B4"/>
    <mergeCell ref="A5:B5"/>
    <mergeCell ref="D7:D9"/>
    <mergeCell ref="A6:B6"/>
    <mergeCell ref="BX3:BZ3"/>
    <mergeCell ref="CB3:CD3"/>
    <mergeCell ref="BX5:BY5"/>
    <mergeCell ref="CB5:CC5"/>
    <mergeCell ref="BX6:BY6"/>
    <mergeCell ref="CB6:CC6"/>
    <mergeCell ref="H7:H9"/>
    <mergeCell ref="I7:I9"/>
    <mergeCell ref="J7:J9"/>
    <mergeCell ref="K7:K9"/>
    <mergeCell ref="E7:E9"/>
    <mergeCell ref="BR5:BU5"/>
    <mergeCell ref="BR6:BU6"/>
    <mergeCell ref="BR9:BU9"/>
    <mergeCell ref="F7:F8"/>
    <mergeCell ref="BX11:BX13"/>
    <mergeCell ref="BY11:BY13"/>
    <mergeCell ref="CB11:CB13"/>
    <mergeCell ref="BX7:BY7"/>
    <mergeCell ref="CB7:CC7"/>
    <mergeCell ref="BX8:BY8"/>
    <mergeCell ref="CB8:CC8"/>
    <mergeCell ref="BX9:BY9"/>
    <mergeCell ref="CB9:CC9"/>
    <mergeCell ref="O7:O9"/>
    <mergeCell ref="BX10:BY10"/>
    <mergeCell ref="CB10:CC10"/>
    <mergeCell ref="BZ11:BZ12"/>
    <mergeCell ref="BM9:BP9"/>
    <mergeCell ref="CI52:CL52"/>
    <mergeCell ref="CI34:CL34"/>
    <mergeCell ref="BX31:CG31"/>
    <mergeCell ref="CB32:CC32"/>
    <mergeCell ref="CD32:CE32"/>
    <mergeCell ref="CF32:CG32"/>
    <mergeCell ref="BA34:BA35"/>
    <mergeCell ref="BA26:BB26"/>
    <mergeCell ref="BR14:BS14"/>
    <mergeCell ref="BM14:BN14"/>
    <mergeCell ref="CD11:CD12"/>
    <mergeCell ref="CC11:CC13"/>
    <mergeCell ref="AG68:AR68"/>
    <mergeCell ref="AG4:AR4"/>
    <mergeCell ref="AG18:AR18"/>
    <mergeCell ref="AG32:AR32"/>
    <mergeCell ref="AG49:AR49"/>
  </mergeCells>
  <phoneticPr fontId="21" type="noConversion"/>
  <conditionalFormatting sqref="G10:O24">
    <cfRule type="expression" dxfId="4" priority="7">
      <formula>$C$3=0</formula>
    </cfRule>
    <cfRule type="expression" dxfId="3" priority="8">
      <formula>ROWS($G$10:$G10)=$BA$7</formula>
    </cfRule>
  </conditionalFormatting>
  <conditionalFormatting sqref="D10:D24">
    <cfRule type="expression" dxfId="2" priority="3">
      <formula>$CC$48&gt;0</formula>
    </cfRule>
  </conditionalFormatting>
  <conditionalFormatting sqref="E10:E24">
    <cfRule type="expression" dxfId="1" priority="2">
      <formula>$CE$48&gt;0</formula>
    </cfRule>
  </conditionalFormatting>
  <conditionalFormatting sqref="F10:F24">
    <cfRule type="expression" dxfId="0" priority="1">
      <formula>$CG$48&gt;0</formula>
    </cfRule>
  </conditionalFormatting>
  <dataValidations count="7">
    <dataValidation type="list" allowBlank="1" showInputMessage="1" showErrorMessage="1" sqref="C6" xr:uid="{022F8D93-49BA-B745-A81B-B4EFA4BEA37A}">
      <formula1>$BB$31:$BB$32</formula1>
    </dataValidation>
    <dataValidation type="list" allowBlank="1" showInputMessage="1" showErrorMessage="1" sqref="F9" xr:uid="{0E47D48B-3688-9C48-9C50-2E5CAC4BAB2A}">
      <formula1>$BB$34:$BB$35</formula1>
    </dataValidation>
    <dataValidation type="decimal" allowBlank="1" showInputMessage="1" showErrorMessage="1" errorTitle="Risk Free Rate Error" error="Please enter Risk-free Rate between 0.0% and 10%. If you wan to make changes please concact an expert" sqref="C1" xr:uid="{DED46E30-E09E-48BE-9434-FB19584354C7}">
      <formula1>BY32</formula1>
      <formula2>BZ32</formula2>
    </dataValidation>
    <dataValidation type="decimal" allowBlank="1" showInputMessage="1" showErrorMessage="1" errorTitle="Market Risk Premium Error" error="Please enter Market Risk Premium between 4% and 8%. If you want to make changes to the model please contact an expert" sqref="C2" xr:uid="{69099B90-729E-4639-BBE0-54817F891F7B}">
      <formula1>BY33</formula1>
      <formula2>BZ33</formula2>
    </dataValidation>
    <dataValidation type="decimal" allowBlank="1" showInputMessage="1" showErrorMessage="1" errorTitle="Tax Rate Error" error="Please enter Tax rate between 0.0% and 100%. If you want to make changes to the model please contact an expert" sqref="C3" xr:uid="{7455E649-4C4C-4A64-9168-464FBBC07CF8}">
      <formula1>BY34</formula1>
      <formula2>BZ34</formula2>
    </dataValidation>
    <dataValidation type="decimal" operator="lessThanOrEqual" allowBlank="1" showInputMessage="1" showErrorMessage="1" errorTitle="Error" error="D/A should not be larger than 70%." sqref="D10:D24" xr:uid="{F5A49EE1-3192-C742-A17F-715919A49CC7}">
      <formula1>70%</formula1>
    </dataValidation>
    <dataValidation type="decimal" operator="lessThanOrEqual" allowBlank="1" showInputMessage="1" showErrorMessage="1" errorTitle="Error" error="BetaD should not be larger than BetaA." sqref="E10:E24" xr:uid="{823F725E-6583-EA4C-87F3-55AF0E3C834E}">
      <formula1>$C$5</formula1>
    </dataValidation>
  </dataValidations>
  <printOptions headings="1"/>
  <pageMargins left="0.7" right="0.7" top="0.75" bottom="0.75" header="0.3" footer="0.3"/>
  <pageSetup orientation="portrait" r:id="rId1"/>
  <customProperties>
    <customPr name="DigitalSignatur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Save_User_Value">
                <anchor moveWithCells="1" sizeWithCells="1">
                  <from>
                    <xdr:col>0</xdr:col>
                    <xdr:colOff>444500</xdr:colOff>
                    <xdr:row>9</xdr:row>
                    <xdr:rowOff>114300</xdr:rowOff>
                  </from>
                  <to>
                    <xdr:col>2</xdr:col>
                    <xdr:colOff>584200</xdr:colOff>
                    <xdr:row>11</xdr:row>
                    <xdr:rowOff>25400</xdr:rowOff>
                  </to>
                </anchor>
              </controlPr>
            </control>
          </mc:Choice>
        </mc:AlternateContent>
        <mc:AlternateContent xmlns:mc="http://schemas.openxmlformats.org/markup-compatibility/2006">
          <mc:Choice Requires="x14">
            <control shapeId="1026" r:id="rId6" name="Button 2">
              <controlPr defaultSize="0" print="0" autoFill="0" autoPict="0" macro="[0]!MM1_withoutTax">
                <anchor moveWithCells="1" sizeWithCells="1">
                  <from>
                    <xdr:col>0</xdr:col>
                    <xdr:colOff>431800</xdr:colOff>
                    <xdr:row>13</xdr:row>
                    <xdr:rowOff>203200</xdr:rowOff>
                  </from>
                  <to>
                    <xdr:col>2</xdr:col>
                    <xdr:colOff>558800</xdr:colOff>
                    <xdr:row>15</xdr:row>
                    <xdr:rowOff>114300</xdr:rowOff>
                  </to>
                </anchor>
              </controlPr>
            </control>
          </mc:Choice>
        </mc:AlternateContent>
        <mc:AlternateContent xmlns:mc="http://schemas.openxmlformats.org/markup-compatibility/2006">
          <mc:Choice Requires="x14">
            <control shapeId="1027" r:id="rId7" name="Button 3">
              <controlPr defaultSize="0" print="0" autoFill="0" autoPict="0" macro="[0]!MM1_withTax">
                <anchor moveWithCells="1" sizeWithCells="1">
                  <from>
                    <xdr:col>0</xdr:col>
                    <xdr:colOff>431800</xdr:colOff>
                    <xdr:row>16</xdr:row>
                    <xdr:rowOff>0</xdr:rowOff>
                  </from>
                  <to>
                    <xdr:col>2</xdr:col>
                    <xdr:colOff>558800</xdr:colOff>
                    <xdr:row>17</xdr:row>
                    <xdr:rowOff>139700</xdr:rowOff>
                  </to>
                </anchor>
              </controlPr>
            </control>
          </mc:Choice>
        </mc:AlternateContent>
        <mc:AlternateContent xmlns:mc="http://schemas.openxmlformats.org/markup-compatibility/2006">
          <mc:Choice Requires="x14">
            <control shapeId="1028" r:id="rId8" name="Button 4">
              <controlPr defaultSize="0" print="0" autoFill="0" autoPict="0" macro="[0]!Restore_User_Date">
                <anchor moveWithCells="1" sizeWithCells="1">
                  <from>
                    <xdr:col>0</xdr:col>
                    <xdr:colOff>444500</xdr:colOff>
                    <xdr:row>11</xdr:row>
                    <xdr:rowOff>152400</xdr:rowOff>
                  </from>
                  <to>
                    <xdr:col>2</xdr:col>
                    <xdr:colOff>558800</xdr:colOff>
                    <xdr:row>13</xdr:row>
                    <xdr:rowOff>76200</xdr:rowOff>
                  </to>
                </anchor>
              </controlPr>
            </control>
          </mc:Choice>
        </mc:AlternateContent>
        <mc:AlternateContent xmlns:mc="http://schemas.openxmlformats.org/markup-compatibility/2006">
          <mc:Choice Requires="x14">
            <control shapeId="1039" r:id="rId9" name="Button 15">
              <controlPr defaultSize="0" print="0" autoFill="0" autoPict="0" macro="[0]!BestFitSegBetaD">
                <anchor moveWithCells="1" sizeWithCells="1">
                  <from>
                    <xdr:col>0</xdr:col>
                    <xdr:colOff>419100</xdr:colOff>
                    <xdr:row>18</xdr:row>
                    <xdr:rowOff>50800</xdr:rowOff>
                  </from>
                  <to>
                    <xdr:col>2</xdr:col>
                    <xdr:colOff>546100</xdr:colOff>
                    <xdr:row>19</xdr:row>
                    <xdr:rowOff>190500</xdr:rowOff>
                  </to>
                </anchor>
              </controlPr>
            </control>
          </mc:Choice>
        </mc:AlternateContent>
        <mc:AlternateContent xmlns:mc="http://schemas.openxmlformats.org/markup-compatibility/2006">
          <mc:Choice Requires="x14">
            <control shapeId="1040" r:id="rId10" name="Button 16">
              <controlPr defaultSize="0" print="0" autoFill="0" autoPict="0" macro="[0]!BestFitSegFtoA">
                <anchor moveWithCells="1" sizeWithCells="1">
                  <from>
                    <xdr:col>0</xdr:col>
                    <xdr:colOff>406400</xdr:colOff>
                    <xdr:row>20</xdr:row>
                    <xdr:rowOff>88900</xdr:rowOff>
                  </from>
                  <to>
                    <xdr:col>2</xdr:col>
                    <xdr:colOff>520700</xdr:colOff>
                    <xdr:row>22</xdr:row>
                    <xdr:rowOff>0</xdr:rowOff>
                  </to>
                </anchor>
              </controlPr>
            </control>
          </mc:Choice>
        </mc:AlternateContent>
        <mc:AlternateContent xmlns:mc="http://schemas.openxmlformats.org/markup-compatibility/2006">
          <mc:Choice Requires="x14">
            <control shapeId="1041" r:id="rId11" name="Button 17">
              <controlPr defaultSize="0" print="0" autoFill="0" autoPict="0" macro="[0]!DoAll">
                <anchor moveWithCells="1" sizeWithCells="1">
                  <from>
                    <xdr:col>0</xdr:col>
                    <xdr:colOff>406400</xdr:colOff>
                    <xdr:row>22</xdr:row>
                    <xdr:rowOff>139700</xdr:rowOff>
                  </from>
                  <to>
                    <xdr:col>2</xdr:col>
                    <xdr:colOff>520700</xdr:colOff>
                    <xdr:row>24</xdr:row>
                    <xdr:rowOff>50800</xdr:rowOff>
                  </to>
                </anchor>
              </controlPr>
            </control>
          </mc:Choice>
        </mc:AlternateContent>
        <mc:AlternateContent xmlns:mc="http://schemas.openxmlformats.org/markup-compatibility/2006">
          <mc:Choice Requires="x14">
            <control shapeId="1042" r:id="rId12" name="Button 18">
              <controlPr defaultSize="0" print="0" autoFill="0" autoPict="0" macro="[0]!Restore_Og_Values">
                <anchor moveWithCells="1" sizeWithCells="1">
                  <from>
                    <xdr:col>0</xdr:col>
                    <xdr:colOff>444500</xdr:colOff>
                    <xdr:row>7</xdr:row>
                    <xdr:rowOff>76200</xdr:rowOff>
                  </from>
                  <to>
                    <xdr:col>2</xdr:col>
                    <xdr:colOff>584200</xdr:colOff>
                    <xdr:row>8</xdr:row>
                    <xdr:rowOff>215900</xdr:rowOff>
                  </to>
                </anchor>
              </controlPr>
            </control>
          </mc:Choice>
        </mc:AlternateContent>
        <mc:AlternateContent xmlns:mc="http://schemas.openxmlformats.org/markup-compatibility/2006">
          <mc:Choice Requires="x14">
            <control shapeId="1043" r:id="rId13" name="Button 19">
              <controlPr defaultSize="0" print="0" autoFill="0" autoPict="0" macro="[0]!GoTo_Model">
                <anchor moveWithCells="1" sizeWithCells="1">
                  <from>
                    <xdr:col>59</xdr:col>
                    <xdr:colOff>139700</xdr:colOff>
                    <xdr:row>2</xdr:row>
                    <xdr:rowOff>0</xdr:rowOff>
                  </from>
                  <to>
                    <xdr:col>61</xdr:col>
                    <xdr:colOff>0</xdr:colOff>
                    <xdr:row>4</xdr:row>
                    <xdr:rowOff>114300</xdr:rowOff>
                  </to>
                </anchor>
              </controlPr>
            </control>
          </mc:Choice>
        </mc:AlternateContent>
        <mc:AlternateContent xmlns:mc="http://schemas.openxmlformats.org/markup-compatibility/2006">
          <mc:Choice Requires="x14">
            <control shapeId="1045" r:id="rId14" name="Button 21">
              <controlPr defaultSize="0" print="0" autoFill="0" autoPict="0" macro="[0]!GoTo_DebtScheduleChart">
                <anchor moveWithCells="1">
                  <from>
                    <xdr:col>16</xdr:col>
                    <xdr:colOff>101600</xdr:colOff>
                    <xdr:row>25</xdr:row>
                    <xdr:rowOff>88900</xdr:rowOff>
                  </from>
                  <to>
                    <xdr:col>18</xdr:col>
                    <xdr:colOff>203200</xdr:colOff>
                    <xdr:row>28</xdr:row>
                    <xdr:rowOff>152400</xdr:rowOff>
                  </to>
                </anchor>
              </controlPr>
            </control>
          </mc:Choice>
        </mc:AlternateContent>
        <mc:AlternateContent xmlns:mc="http://schemas.openxmlformats.org/markup-compatibility/2006">
          <mc:Choice Requires="x14">
            <control shapeId="1046" r:id="rId15" name="Button 22">
              <controlPr defaultSize="0" print="0" autoFill="0" autoPict="0" macro="[0]!Save_User_Value">
                <anchor moveWithCells="1" sizeWithCells="1">
                  <from>
                    <xdr:col>0</xdr:col>
                    <xdr:colOff>444500</xdr:colOff>
                    <xdr:row>9</xdr:row>
                    <xdr:rowOff>114300</xdr:rowOff>
                  </from>
                  <to>
                    <xdr:col>2</xdr:col>
                    <xdr:colOff>584200</xdr:colOff>
                    <xdr:row>11</xdr:row>
                    <xdr:rowOff>25400</xdr:rowOff>
                  </to>
                </anchor>
              </controlPr>
            </control>
          </mc:Choice>
        </mc:AlternateContent>
        <mc:AlternateContent xmlns:mc="http://schemas.openxmlformats.org/markup-compatibility/2006">
          <mc:Choice Requires="x14">
            <control shapeId="1047" r:id="rId16" name="Button 23">
              <controlPr defaultSize="0" print="0" autoFill="0" autoPict="0" macro="[0]!MM1_withoutTax">
                <anchor moveWithCells="1" sizeWithCells="1">
                  <from>
                    <xdr:col>0</xdr:col>
                    <xdr:colOff>431800</xdr:colOff>
                    <xdr:row>13</xdr:row>
                    <xdr:rowOff>203200</xdr:rowOff>
                  </from>
                  <to>
                    <xdr:col>2</xdr:col>
                    <xdr:colOff>558800</xdr:colOff>
                    <xdr:row>15</xdr:row>
                    <xdr:rowOff>114300</xdr:rowOff>
                  </to>
                </anchor>
              </controlPr>
            </control>
          </mc:Choice>
        </mc:AlternateContent>
        <mc:AlternateContent xmlns:mc="http://schemas.openxmlformats.org/markup-compatibility/2006">
          <mc:Choice Requires="x14">
            <control shapeId="1048" r:id="rId17" name="Button 24">
              <controlPr defaultSize="0" print="0" autoFill="0" autoPict="0" macro="[0]!MM1_withTax">
                <anchor moveWithCells="1" sizeWithCells="1">
                  <from>
                    <xdr:col>0</xdr:col>
                    <xdr:colOff>431800</xdr:colOff>
                    <xdr:row>16</xdr:row>
                    <xdr:rowOff>0</xdr:rowOff>
                  </from>
                  <to>
                    <xdr:col>2</xdr:col>
                    <xdr:colOff>558800</xdr:colOff>
                    <xdr:row>17</xdr:row>
                    <xdr:rowOff>139700</xdr:rowOff>
                  </to>
                </anchor>
              </controlPr>
            </control>
          </mc:Choice>
        </mc:AlternateContent>
        <mc:AlternateContent xmlns:mc="http://schemas.openxmlformats.org/markup-compatibility/2006">
          <mc:Choice Requires="x14">
            <control shapeId="1049" r:id="rId18" name="Button 25">
              <controlPr defaultSize="0" print="0" autoFill="0" autoPict="0" macro="[0]!Restore_User_Date">
                <anchor moveWithCells="1" sizeWithCells="1">
                  <from>
                    <xdr:col>0</xdr:col>
                    <xdr:colOff>444500</xdr:colOff>
                    <xdr:row>11</xdr:row>
                    <xdr:rowOff>152400</xdr:rowOff>
                  </from>
                  <to>
                    <xdr:col>2</xdr:col>
                    <xdr:colOff>558800</xdr:colOff>
                    <xdr:row>13</xdr:row>
                    <xdr:rowOff>76200</xdr:rowOff>
                  </to>
                </anchor>
              </controlPr>
            </control>
          </mc:Choice>
        </mc:AlternateContent>
        <mc:AlternateContent xmlns:mc="http://schemas.openxmlformats.org/markup-compatibility/2006">
          <mc:Choice Requires="x14">
            <control shapeId="1050" r:id="rId19" name="Button 26">
              <controlPr defaultSize="0" print="0" autoFill="0" autoPict="0" macro="[0]!BestFitSegBetaD">
                <anchor moveWithCells="1" sizeWithCells="1">
                  <from>
                    <xdr:col>0</xdr:col>
                    <xdr:colOff>419100</xdr:colOff>
                    <xdr:row>18</xdr:row>
                    <xdr:rowOff>50800</xdr:rowOff>
                  </from>
                  <to>
                    <xdr:col>2</xdr:col>
                    <xdr:colOff>546100</xdr:colOff>
                    <xdr:row>19</xdr:row>
                    <xdr:rowOff>190500</xdr:rowOff>
                  </to>
                </anchor>
              </controlPr>
            </control>
          </mc:Choice>
        </mc:AlternateContent>
        <mc:AlternateContent xmlns:mc="http://schemas.openxmlformats.org/markup-compatibility/2006">
          <mc:Choice Requires="x14">
            <control shapeId="1051" r:id="rId20" name="Button 27">
              <controlPr defaultSize="0" print="0" autoFill="0" autoPict="0" macro="[0]!BestFitSegFtoA">
                <anchor moveWithCells="1" sizeWithCells="1">
                  <from>
                    <xdr:col>0</xdr:col>
                    <xdr:colOff>406400</xdr:colOff>
                    <xdr:row>20</xdr:row>
                    <xdr:rowOff>88900</xdr:rowOff>
                  </from>
                  <to>
                    <xdr:col>2</xdr:col>
                    <xdr:colOff>520700</xdr:colOff>
                    <xdr:row>22</xdr:row>
                    <xdr:rowOff>0</xdr:rowOff>
                  </to>
                </anchor>
              </controlPr>
            </control>
          </mc:Choice>
        </mc:AlternateContent>
        <mc:AlternateContent xmlns:mc="http://schemas.openxmlformats.org/markup-compatibility/2006">
          <mc:Choice Requires="x14">
            <control shapeId="1052" r:id="rId21" name="Button 28">
              <controlPr defaultSize="0" print="0" autoFill="0" autoPict="0" macro="[0]!DoAll">
                <anchor moveWithCells="1" sizeWithCells="1">
                  <from>
                    <xdr:col>0</xdr:col>
                    <xdr:colOff>406400</xdr:colOff>
                    <xdr:row>22</xdr:row>
                    <xdr:rowOff>139700</xdr:rowOff>
                  </from>
                  <to>
                    <xdr:col>2</xdr:col>
                    <xdr:colOff>520700</xdr:colOff>
                    <xdr:row>24</xdr:row>
                    <xdr:rowOff>50800</xdr:rowOff>
                  </to>
                </anchor>
              </controlPr>
            </control>
          </mc:Choice>
        </mc:AlternateContent>
        <mc:AlternateContent xmlns:mc="http://schemas.openxmlformats.org/markup-compatibility/2006">
          <mc:Choice Requires="x14">
            <control shapeId="1053" r:id="rId22" name="Button 29">
              <controlPr defaultSize="0" print="0" autoFill="0" autoPict="0" macro="[0]!Restore_Og_Values">
                <anchor moveWithCells="1" sizeWithCells="1">
                  <from>
                    <xdr:col>0</xdr:col>
                    <xdr:colOff>444500</xdr:colOff>
                    <xdr:row>7</xdr:row>
                    <xdr:rowOff>76200</xdr:rowOff>
                  </from>
                  <to>
                    <xdr:col>2</xdr:col>
                    <xdr:colOff>584200</xdr:colOff>
                    <xdr:row>8</xdr:row>
                    <xdr:rowOff>215900</xdr:rowOff>
                  </to>
                </anchor>
              </controlPr>
            </control>
          </mc:Choice>
        </mc:AlternateContent>
        <mc:AlternateContent xmlns:mc="http://schemas.openxmlformats.org/markup-compatibility/2006">
          <mc:Choice Requires="x14">
            <control shapeId="1055" r:id="rId23" name="Button 31">
              <controlPr defaultSize="0" print="0" autoFill="0" autoPict="0" macro="[0]!GoTo_Work_Area">
                <anchor moveWithCells="1" sizeWithCells="1">
                  <from>
                    <xdr:col>23</xdr:col>
                    <xdr:colOff>393700</xdr:colOff>
                    <xdr:row>29</xdr:row>
                    <xdr:rowOff>25400</xdr:rowOff>
                  </from>
                  <to>
                    <xdr:col>25</xdr:col>
                    <xdr:colOff>482600</xdr:colOff>
                    <xdr:row>32</xdr:row>
                    <xdr:rowOff>127000</xdr:rowOff>
                  </to>
                </anchor>
              </controlPr>
            </control>
          </mc:Choice>
        </mc:AlternateContent>
        <mc:AlternateContent xmlns:mc="http://schemas.openxmlformats.org/markup-compatibility/2006">
          <mc:Choice Requires="x14">
            <control shapeId="1056" r:id="rId24" name="Button 32">
              <controlPr defaultSize="0" print="0" autoFill="0" autoPict="0" macro="[0]!GoTo_UserGuide">
                <anchor moveWithCells="1" sizeWithCells="1">
                  <from>
                    <xdr:col>23</xdr:col>
                    <xdr:colOff>393700</xdr:colOff>
                    <xdr:row>25</xdr:row>
                    <xdr:rowOff>76200</xdr:rowOff>
                  </from>
                  <to>
                    <xdr:col>25</xdr:col>
                    <xdr:colOff>482600</xdr:colOff>
                    <xdr:row>28</xdr:row>
                    <xdr:rowOff>139700</xdr:rowOff>
                  </to>
                </anchor>
              </controlPr>
            </control>
          </mc:Choice>
        </mc:AlternateContent>
        <mc:AlternateContent xmlns:mc="http://schemas.openxmlformats.org/markup-compatibility/2006">
          <mc:Choice Requires="x14">
            <control shapeId="1058" r:id="rId25" name="Button 34">
              <controlPr defaultSize="0" print="0" autoFill="0" autoPict="0" macro="[0]!GoTo_PiecewisewiseChart">
                <anchor moveWithCells="1">
                  <from>
                    <xdr:col>18</xdr:col>
                    <xdr:colOff>444500</xdr:colOff>
                    <xdr:row>25</xdr:row>
                    <xdr:rowOff>76200</xdr:rowOff>
                  </from>
                  <to>
                    <xdr:col>20</xdr:col>
                    <xdr:colOff>546100</xdr:colOff>
                    <xdr:row>28</xdr:row>
                    <xdr:rowOff>139700</xdr:rowOff>
                  </to>
                </anchor>
              </controlPr>
            </control>
          </mc:Choice>
        </mc:AlternateContent>
        <mc:AlternateContent xmlns:mc="http://schemas.openxmlformats.org/markup-compatibility/2006">
          <mc:Choice Requires="x14">
            <control shapeId="1059" r:id="rId26" name="Button 35">
              <controlPr defaultSize="0" print="0" autoFill="0" autoPict="0" macro="[0]!GoTo_StepwiseChart">
                <anchor moveWithCells="1">
                  <from>
                    <xdr:col>16</xdr:col>
                    <xdr:colOff>101600</xdr:colOff>
                    <xdr:row>29</xdr:row>
                    <xdr:rowOff>25400</xdr:rowOff>
                  </from>
                  <to>
                    <xdr:col>18</xdr:col>
                    <xdr:colOff>190500</xdr:colOff>
                    <xdr:row>32</xdr:row>
                    <xdr:rowOff>127000</xdr:rowOff>
                  </to>
                </anchor>
              </controlPr>
            </control>
          </mc:Choice>
        </mc:AlternateContent>
        <mc:AlternateContent xmlns:mc="http://schemas.openxmlformats.org/markup-compatibility/2006">
          <mc:Choice Requires="x14">
            <control shapeId="1060" r:id="rId27" name="Button 36">
              <controlPr defaultSize="0" print="0" autoFill="0" autoPict="0" macro="[0]!GoTo_BestFitCurveChart">
                <anchor moveWithCells="1">
                  <from>
                    <xdr:col>18</xdr:col>
                    <xdr:colOff>444500</xdr:colOff>
                    <xdr:row>28</xdr:row>
                    <xdr:rowOff>190500</xdr:rowOff>
                  </from>
                  <to>
                    <xdr:col>20</xdr:col>
                    <xdr:colOff>546100</xdr:colOff>
                    <xdr:row>32</xdr:row>
                    <xdr:rowOff>101600</xdr:rowOff>
                  </to>
                </anchor>
              </controlPr>
            </control>
          </mc:Choice>
        </mc:AlternateContent>
        <mc:AlternateContent xmlns:mc="http://schemas.openxmlformats.org/markup-compatibility/2006">
          <mc:Choice Requires="x14">
            <control shapeId="1062" r:id="rId28" name="Button 38">
              <controlPr defaultSize="0" print="0" autoFill="0" autoPict="0" macro="[0]!GoTo_Model">
                <anchor moveWithCells="1" sizeWithCells="1">
                  <from>
                    <xdr:col>46</xdr:col>
                    <xdr:colOff>139700</xdr:colOff>
                    <xdr:row>7</xdr:row>
                    <xdr:rowOff>0</xdr:rowOff>
                  </from>
                  <to>
                    <xdr:col>46</xdr:col>
                    <xdr:colOff>1181100</xdr:colOff>
                    <xdr:row>9</xdr:row>
                    <xdr:rowOff>114300</xdr:rowOff>
                  </to>
                </anchor>
              </controlPr>
            </control>
          </mc:Choice>
        </mc:AlternateContent>
        <mc:AlternateContent xmlns:mc="http://schemas.openxmlformats.org/markup-compatibility/2006">
          <mc:Choice Requires="x14">
            <control shapeId="1063" r:id="rId29" name="Button 39">
              <controlPr defaultSize="0" print="0" autoFill="0" autoPict="0" macro="[0]!GoTo_Model">
                <anchor moveWithCells="1" sizeWithCells="1">
                  <from>
                    <xdr:col>46</xdr:col>
                    <xdr:colOff>139700</xdr:colOff>
                    <xdr:row>21</xdr:row>
                    <xdr:rowOff>0</xdr:rowOff>
                  </from>
                  <to>
                    <xdr:col>46</xdr:col>
                    <xdr:colOff>1181100</xdr:colOff>
                    <xdr:row>23</xdr:row>
                    <xdr:rowOff>114300</xdr:rowOff>
                  </to>
                </anchor>
              </controlPr>
            </control>
          </mc:Choice>
        </mc:AlternateContent>
        <mc:AlternateContent xmlns:mc="http://schemas.openxmlformats.org/markup-compatibility/2006">
          <mc:Choice Requires="x14">
            <control shapeId="1064" r:id="rId30" name="Button 40">
              <controlPr defaultSize="0" print="0" autoFill="0" autoPict="0" macro="[0]!GoTo_Model">
                <anchor moveWithCells="1" sizeWithCells="1">
                  <from>
                    <xdr:col>46</xdr:col>
                    <xdr:colOff>139700</xdr:colOff>
                    <xdr:row>37</xdr:row>
                    <xdr:rowOff>0</xdr:rowOff>
                  </from>
                  <to>
                    <xdr:col>46</xdr:col>
                    <xdr:colOff>1181100</xdr:colOff>
                    <xdr:row>40</xdr:row>
                    <xdr:rowOff>0</xdr:rowOff>
                  </to>
                </anchor>
              </controlPr>
            </control>
          </mc:Choice>
        </mc:AlternateContent>
        <mc:AlternateContent xmlns:mc="http://schemas.openxmlformats.org/markup-compatibility/2006">
          <mc:Choice Requires="x14">
            <control shapeId="1065" r:id="rId31" name="Button 41">
              <controlPr defaultSize="0" print="0" autoFill="0" autoPict="0" macro="[0]!GoTo_Model">
                <anchor moveWithCells="1" sizeWithCells="1">
                  <from>
                    <xdr:col>46</xdr:col>
                    <xdr:colOff>139700</xdr:colOff>
                    <xdr:row>55</xdr:row>
                    <xdr:rowOff>0</xdr:rowOff>
                  </from>
                  <to>
                    <xdr:col>46</xdr:col>
                    <xdr:colOff>1181100</xdr:colOff>
                    <xdr:row>58</xdr:row>
                    <xdr:rowOff>0</xdr:rowOff>
                  </to>
                </anchor>
              </controlPr>
            </control>
          </mc:Choice>
        </mc:AlternateContent>
        <mc:AlternateContent xmlns:mc="http://schemas.openxmlformats.org/markup-compatibility/2006">
          <mc:Choice Requires="x14">
            <control shapeId="1066" r:id="rId32" name="Button 42">
              <controlPr defaultSize="0" print="0" autoFill="0" autoPict="0" macro="[0]!GoTo_Model">
                <anchor moveWithCells="1" sizeWithCells="1">
                  <from>
                    <xdr:col>46</xdr:col>
                    <xdr:colOff>139700</xdr:colOff>
                    <xdr:row>72</xdr:row>
                    <xdr:rowOff>0</xdr:rowOff>
                  </from>
                  <to>
                    <xdr:col>46</xdr:col>
                    <xdr:colOff>1181100</xdr:colOff>
                    <xdr:row>75</xdr:row>
                    <xdr:rowOff>0</xdr:rowOff>
                  </to>
                </anchor>
              </controlPr>
            </control>
          </mc:Choice>
        </mc:AlternateContent>
        <mc:AlternateContent xmlns:mc="http://schemas.openxmlformats.org/markup-compatibility/2006">
          <mc:Choice Requires="x14">
            <control shapeId="1067" r:id="rId33" name="Button 43">
              <controlPr defaultSize="0" print="0" autoFill="0" autoPict="0" macro="[0]!GoTo_BestFitSegmentsChart">
                <anchor moveWithCells="1">
                  <from>
                    <xdr:col>21</xdr:col>
                    <xdr:colOff>114300</xdr:colOff>
                    <xdr:row>27</xdr:row>
                    <xdr:rowOff>0</xdr:rowOff>
                  </from>
                  <to>
                    <xdr:col>23</xdr:col>
                    <xdr:colOff>215900</xdr:colOff>
                    <xdr:row>30</xdr:row>
                    <xdr:rowOff>114300</xdr:rowOff>
                  </to>
                </anchor>
              </controlPr>
            </control>
          </mc:Choice>
        </mc:AlternateContent>
        <mc:AlternateContent xmlns:mc="http://schemas.openxmlformats.org/markup-compatibility/2006">
          <mc:Choice Requires="x14">
            <control shapeId="1068" r:id="rId34" name="Button 44">
              <controlPr defaultSize="0" print="0" autoFill="0" autoPict="0" macro="[0]!GoTo_Model">
                <anchor moveWithCells="1" sizeWithCells="1">
                  <from>
                    <xdr:col>92</xdr:col>
                    <xdr:colOff>139700</xdr:colOff>
                    <xdr:row>3</xdr:row>
                    <xdr:rowOff>0</xdr:rowOff>
                  </from>
                  <to>
                    <xdr:col>94</xdr:col>
                    <xdr:colOff>0</xdr:colOff>
                    <xdr:row>5</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H24"/>
  <sheetViews>
    <sheetView showGridLines="0" workbookViewId="0">
      <selection sqref="A1:B1"/>
    </sheetView>
  </sheetViews>
  <sheetFormatPr baseColWidth="10" defaultColWidth="8.83203125" defaultRowHeight="15"/>
  <cols>
    <col min="1" max="3" width="12.6640625" customWidth="1"/>
    <col min="6" max="6" width="12.1640625" customWidth="1"/>
  </cols>
  <sheetData>
    <row r="1" spans="1:8" ht="18" customHeight="1">
      <c r="A1" s="128" t="s">
        <v>6</v>
      </c>
      <c r="B1" s="128"/>
      <c r="C1" s="5">
        <v>0.01</v>
      </c>
    </row>
    <row r="2" spans="1:8" ht="18" customHeight="1">
      <c r="A2" s="128" t="s">
        <v>0</v>
      </c>
      <c r="B2" s="128"/>
      <c r="C2" s="5">
        <v>0.06</v>
      </c>
    </row>
    <row r="3" spans="1:8" ht="18" customHeight="1">
      <c r="A3" s="128" t="s">
        <v>1</v>
      </c>
      <c r="B3" s="128"/>
      <c r="C3" s="5">
        <v>0.35</v>
      </c>
    </row>
    <row r="4" spans="1:8" ht="18" customHeight="1">
      <c r="A4" s="128" t="s">
        <v>2</v>
      </c>
      <c r="B4" s="128"/>
      <c r="C4" s="6">
        <v>20</v>
      </c>
    </row>
    <row r="5" spans="1:8" ht="18" customHeight="1">
      <c r="A5" s="128" t="s">
        <v>7</v>
      </c>
      <c r="B5" s="128"/>
      <c r="C5" s="4">
        <v>1.5</v>
      </c>
    </row>
    <row r="6" spans="1:8" ht="18" customHeight="1"/>
    <row r="7" spans="1:8" ht="18" customHeight="1">
      <c r="D7" s="122" t="s">
        <v>3</v>
      </c>
      <c r="E7" s="122" t="s">
        <v>5</v>
      </c>
      <c r="F7" s="125" t="s">
        <v>4</v>
      </c>
    </row>
    <row r="8" spans="1:8" ht="18" customHeight="1">
      <c r="D8" s="123"/>
      <c r="E8" s="123"/>
      <c r="F8" s="126"/>
    </row>
    <row r="9" spans="1:8" ht="18" customHeight="1">
      <c r="D9" s="124"/>
      <c r="E9" s="124"/>
      <c r="F9" s="127"/>
    </row>
    <row r="10" spans="1:8" ht="18" customHeight="1">
      <c r="D10" s="7">
        <v>0</v>
      </c>
      <c r="E10" s="8">
        <v>0</v>
      </c>
      <c r="F10" s="9">
        <v>0</v>
      </c>
    </row>
    <row r="11" spans="1:8" ht="18" customHeight="1">
      <c r="D11" s="1">
        <v>0.05</v>
      </c>
      <c r="E11" s="2">
        <v>0</v>
      </c>
      <c r="F11" s="3">
        <v>0</v>
      </c>
      <c r="H11" s="10"/>
    </row>
    <row r="12" spans="1:8" ht="18" customHeight="1">
      <c r="D12" s="1">
        <v>0.1</v>
      </c>
      <c r="E12" s="2">
        <v>0.03</v>
      </c>
      <c r="F12" s="3">
        <v>0</v>
      </c>
      <c r="H12" s="10"/>
    </row>
    <row r="13" spans="1:8" ht="18" customHeight="1">
      <c r="D13" s="1">
        <v>0.15</v>
      </c>
      <c r="E13" s="2">
        <v>5.5E-2</v>
      </c>
      <c r="F13" s="3">
        <v>2.5000000000000001E-3</v>
      </c>
      <c r="H13" s="10"/>
    </row>
    <row r="14" spans="1:8" ht="18" customHeight="1">
      <c r="D14" s="1">
        <v>0.2</v>
      </c>
      <c r="E14" s="2">
        <v>7.0000000000000007E-2</v>
      </c>
      <c r="F14" s="3">
        <v>5.0000000000000001E-3</v>
      </c>
      <c r="H14" s="10"/>
    </row>
    <row r="15" spans="1:8" ht="18" customHeight="1">
      <c r="D15" s="1">
        <v>0.25</v>
      </c>
      <c r="E15" s="2">
        <v>0.11</v>
      </c>
      <c r="F15" s="3">
        <v>0.01</v>
      </c>
      <c r="H15" s="10"/>
    </row>
    <row r="16" spans="1:8" ht="18" customHeight="1">
      <c r="D16" s="1">
        <v>0.3</v>
      </c>
      <c r="E16" s="2">
        <v>0.2</v>
      </c>
      <c r="F16" s="3">
        <v>0.02</v>
      </c>
      <c r="H16" s="10"/>
    </row>
    <row r="17" spans="4:8" ht="18" customHeight="1">
      <c r="D17" s="1">
        <v>0.35</v>
      </c>
      <c r="E17" s="2">
        <v>0.35</v>
      </c>
      <c r="F17" s="3">
        <v>3.5000000000000003E-2</v>
      </c>
      <c r="H17" s="10"/>
    </row>
    <row r="18" spans="4:8" ht="18" customHeight="1">
      <c r="D18" s="1">
        <v>0.4</v>
      </c>
      <c r="E18" s="2">
        <v>0.38</v>
      </c>
      <c r="F18" s="3">
        <v>0.06</v>
      </c>
      <c r="H18" s="10"/>
    </row>
    <row r="19" spans="4:8" ht="18" customHeight="1">
      <c r="D19" s="1">
        <v>0.45</v>
      </c>
      <c r="E19" s="2">
        <v>0.42</v>
      </c>
      <c r="F19" s="3">
        <v>7.0000000000000007E-2</v>
      </c>
      <c r="H19" s="10"/>
    </row>
    <row r="20" spans="4:8" ht="18" customHeight="1">
      <c r="D20" s="1">
        <v>0.5</v>
      </c>
      <c r="E20" s="2">
        <v>0.5</v>
      </c>
      <c r="F20" s="3">
        <v>0.08</v>
      </c>
      <c r="H20" s="10"/>
    </row>
    <row r="21" spans="4:8" ht="18" customHeight="1">
      <c r="D21" s="1">
        <v>0.55000000000000004</v>
      </c>
      <c r="E21" s="2">
        <v>0.6</v>
      </c>
      <c r="F21" s="3">
        <v>0.13</v>
      </c>
      <c r="H21" s="10"/>
    </row>
    <row r="22" spans="4:8" ht="18" customHeight="1">
      <c r="D22" s="1">
        <v>0.6</v>
      </c>
      <c r="E22" s="2">
        <v>0.67</v>
      </c>
      <c r="F22" s="3">
        <v>0.15</v>
      </c>
      <c r="H22" s="10"/>
    </row>
    <row r="23" spans="4:8" ht="18" customHeight="1">
      <c r="D23" s="1">
        <v>0.65</v>
      </c>
      <c r="E23" s="2">
        <v>0.72</v>
      </c>
      <c r="F23" s="3">
        <v>0.22</v>
      </c>
      <c r="H23" s="10"/>
    </row>
    <row r="24" spans="4:8" ht="18" customHeight="1">
      <c r="D24" s="1">
        <v>0.7</v>
      </c>
      <c r="E24" s="2">
        <v>0.84</v>
      </c>
      <c r="F24" s="3">
        <v>0.3</v>
      </c>
      <c r="H24" s="10"/>
    </row>
  </sheetData>
  <mergeCells count="8">
    <mergeCell ref="E7:E9"/>
    <mergeCell ref="F7:F9"/>
    <mergeCell ref="A1:B1"/>
    <mergeCell ref="A2:B2"/>
    <mergeCell ref="A3:B3"/>
    <mergeCell ref="A4:B4"/>
    <mergeCell ref="A5:B5"/>
    <mergeCell ref="D7:D9"/>
  </mergeCells>
  <phoneticPr fontId="2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User Guide</vt:lpstr>
      <vt:lpstr>Model</vt:lpstr>
      <vt:lpstr>Alt-2</vt:lpstr>
      <vt:lpstr>Block1</vt:lpstr>
      <vt:lpstr>Block1_og</vt:lpstr>
      <vt:lpstr>Block1_User</vt:lpstr>
      <vt:lpstr>Block2</vt:lpstr>
      <vt:lpstr>Block2_og</vt:lpstr>
      <vt:lpstr>Block2_User</vt:lpstr>
      <vt:lpstr>Financial_Distress_Cost</vt:lpstr>
      <vt:lpstr>Risk_Debt</vt:lpstr>
      <vt:lpstr>TaxRate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rkshukla</dc:creator>
  <cp:lastModifiedBy>Microsoft Office User</cp:lastModifiedBy>
  <cp:lastPrinted>2017-09-26T02:19:54Z</cp:lastPrinted>
  <dcterms:created xsi:type="dcterms:W3CDTF">2013-02-19T12:35:25Z</dcterms:created>
  <dcterms:modified xsi:type="dcterms:W3CDTF">2021-05-15T19:58:01Z</dcterms:modified>
</cp:coreProperties>
</file>